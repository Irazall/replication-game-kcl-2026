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mackevicius/Library/CloudStorage/OneDrive-NorthwesternUniversity/GRAD SCHOOL/School Funding M-A Code to Share/Jackson Mackevicius Replication/Input Data/"/>
    </mc:Choice>
  </mc:AlternateContent>
  <xr:revisionPtr revIDLastSave="0" documentId="13_ncr:1_{6D433C43-5DBA-0547-8723-428C8E756D59}" xr6:coauthVersionLast="47" xr6:coauthVersionMax="47" xr10:uidLastSave="{00000000-0000-0000-0000-000000000000}"/>
  <bookViews>
    <workbookView xWindow="-32780" yWindow="-5500" windowWidth="32780" windowHeight="20220" xr2:uid="{8383EA69-D028-E54F-AD1A-90B0B1721ED5}"/>
  </bookViews>
  <sheets>
    <sheet name="Over Time" sheetId="10" r:id="rId1"/>
    <sheet name="depreciation_exemplar" sheetId="13" r:id="rId2"/>
  </sheets>
  <definedNames>
    <definedName name="_xlnm._FilterDatabase" localSheetId="0" hidden="1">'Over Time'!$A$1:$S$95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2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3" i="13"/>
  <c r="K118" i="10"/>
  <c r="K119" i="10"/>
  <c r="K120" i="10"/>
  <c r="K121" i="10"/>
  <c r="K122" i="10"/>
  <c r="K123" i="10"/>
  <c r="K124" i="10"/>
  <c r="K125" i="10"/>
  <c r="K117" i="10"/>
  <c r="I116" i="10" l="1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95" i="10"/>
  <c r="I94" i="10"/>
  <c r="I93" i="10"/>
  <c r="I92" i="10"/>
  <c r="I91" i="10"/>
  <c r="I90" i="10"/>
  <c r="I89" i="10"/>
  <c r="K13" i="10"/>
  <c r="K2" i="10"/>
  <c r="K75" i="10" l="1"/>
  <c r="K76" i="10"/>
  <c r="K77" i="10"/>
  <c r="K78" i="10"/>
  <c r="K79" i="10"/>
  <c r="K80" i="10"/>
  <c r="K74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53" i="10"/>
  <c r="K36" i="10"/>
  <c r="K37" i="10"/>
  <c r="K38" i="10"/>
  <c r="K39" i="10"/>
  <c r="K40" i="10"/>
  <c r="K41" i="10"/>
  <c r="K35" i="10"/>
  <c r="K3" i="10"/>
  <c r="K4" i="10"/>
  <c r="K5" i="10"/>
  <c r="K6" i="10"/>
  <c r="K7" i="10"/>
  <c r="K8" i="10"/>
  <c r="K9" i="10"/>
  <c r="K10" i="10"/>
  <c r="K11" i="10"/>
  <c r="K12" i="10"/>
  <c r="K25" i="10"/>
  <c r="K26" i="10"/>
  <c r="K27" i="10"/>
  <c r="K28" i="10"/>
  <c r="K29" i="10"/>
  <c r="K30" i="10"/>
  <c r="K31" i="10"/>
  <c r="K32" i="10"/>
  <c r="K33" i="10"/>
  <c r="K34" i="10"/>
  <c r="K24" i="10"/>
  <c r="K14" i="10"/>
  <c r="K15" i="10"/>
  <c r="K16" i="10"/>
  <c r="K17" i="10"/>
  <c r="K18" i="10"/>
  <c r="K19" i="10"/>
  <c r="K20" i="10"/>
  <c r="K21" i="10"/>
  <c r="K22" i="10"/>
  <c r="K23" i="10"/>
  <c r="P97" i="10" l="1"/>
  <c r="P98" i="10"/>
  <c r="P99" i="10"/>
  <c r="P100" i="10"/>
  <c r="P101" i="10"/>
  <c r="P102" i="10"/>
  <c r="P96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53" i="10"/>
  <c r="P47" i="10"/>
  <c r="P48" i="10"/>
  <c r="P49" i="10"/>
  <c r="P50" i="10"/>
  <c r="P51" i="10"/>
  <c r="P52" i="10"/>
  <c r="P46" i="10"/>
  <c r="O102" i="10"/>
  <c r="O101" i="10"/>
  <c r="O100" i="10"/>
  <c r="O99" i="10"/>
  <c r="O98" i="10"/>
  <c r="O97" i="10"/>
  <c r="O96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B4" i="13" l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</calcChain>
</file>

<file path=xl/sharedStrings.xml><?xml version="1.0" encoding="utf-8"?>
<sst xmlns="http://schemas.openxmlformats.org/spreadsheetml/2006/main" count="604" uniqueCount="98">
  <si>
    <t>effect1_est</t>
  </si>
  <si>
    <t>effect1_se</t>
  </si>
  <si>
    <t>effect2_est</t>
  </si>
  <si>
    <t>effect2_se</t>
  </si>
  <si>
    <t>effect_source</t>
  </si>
  <si>
    <t>paper</t>
  </si>
  <si>
    <t>time</t>
  </si>
  <si>
    <t>multobs_single_pop</t>
  </si>
  <si>
    <t>PPE_reported</t>
  </si>
  <si>
    <t xml:space="preserve">local filepath "" </t>
  </si>
  <si>
    <t>PPE_reportedSUM</t>
  </si>
  <si>
    <t>PPE_sourceSUM</t>
  </si>
  <si>
    <t>capital_type</t>
  </si>
  <si>
    <t>share_building</t>
  </si>
  <si>
    <t>years_dep_senslow</t>
  </si>
  <si>
    <t>years_dep_senshigh</t>
  </si>
  <si>
    <t>max_year</t>
  </si>
  <si>
    <t>mathread</t>
  </si>
  <si>
    <t>PPE_dollarsyear</t>
  </si>
  <si>
    <t>cd "`filepath'"</t>
  </si>
  <si>
    <t>figure 5</t>
  </si>
  <si>
    <t>nonbuilding</t>
  </si>
  <si>
    <t>pg. 24</t>
  </si>
  <si>
    <t>pg 24</t>
  </si>
  <si>
    <t>provided by author</t>
  </si>
  <si>
    <t>from author, sum across point 6 years 1=5</t>
  </si>
  <si>
    <t>from author, sum across point 6 years 1=6</t>
  </si>
  <si>
    <t>from author, sum across point 6 years 1=7</t>
  </si>
  <si>
    <t>from author, sum across point 6 years 1=8</t>
  </si>
  <si>
    <t>from author, sum across point 6 years 1=9</t>
  </si>
  <si>
    <t>from author, sum across point 6 years 1=10</t>
  </si>
  <si>
    <t>from author, sum across point 6 years 1=11</t>
  </si>
  <si>
    <t>from author, sum across point 6 years 1=12</t>
  </si>
  <si>
    <t>from author, sum across point 6 years 1=13</t>
  </si>
  <si>
    <t>from author, sum across point 6 years 1=14</t>
  </si>
  <si>
    <t>from author, sum across point 6 years 1=15</t>
  </si>
  <si>
    <t>from author, sum across point 6 years 1=16</t>
  </si>
  <si>
    <t>from author, sum across point 6 years 1=17</t>
  </si>
  <si>
    <t>from author, sum across point 6 years 1=18</t>
  </si>
  <si>
    <t>from author, sum across point 6 years 1=19</t>
  </si>
  <si>
    <t>from author, sum across point 6 years 1=20</t>
  </si>
  <si>
    <t>from author, sum across point 6 years 1=21</t>
  </si>
  <si>
    <t>from author, sum across point 6 years 1=22</t>
  </si>
  <si>
    <t>from author, sum across point 6 years 1=23</t>
  </si>
  <si>
    <t>from author, sum across point 6 years 1=24</t>
  </si>
  <si>
    <t>from author, sum across point 6 years 1=25</t>
  </si>
  <si>
    <t>from author, sum across point 6 years 1=26</t>
  </si>
  <si>
    <t>Table VII</t>
  </si>
  <si>
    <t>Cellini Ferriera Rothstein (2010)</t>
  </si>
  <si>
    <t>pg. 249</t>
  </si>
  <si>
    <t>Table IV</t>
  </si>
  <si>
    <t>Table 3 column 2</t>
  </si>
  <si>
    <t>Conlin Thompson (2017)</t>
  </si>
  <si>
    <t>Table 3 note, spend times t-3 to t</t>
  </si>
  <si>
    <t>Table 3 column 3</t>
  </si>
  <si>
    <t>Table 3 column 4</t>
  </si>
  <si>
    <t>Table 3 column 5</t>
  </si>
  <si>
    <t>Table 4 columns 1 and 2</t>
  </si>
  <si>
    <t>Goncalves (2015)</t>
  </si>
  <si>
    <t>pg. 8</t>
  </si>
  <si>
    <t>combo</t>
  </si>
  <si>
    <t>Table 4 columns 1 and 3</t>
  </si>
  <si>
    <t>Table 4 columns 1 and 4</t>
  </si>
  <si>
    <t>Table 4 columns 1 and 5</t>
  </si>
  <si>
    <t>Table 4 columns 1 and 6</t>
  </si>
  <si>
    <t>Table 4 columns 1 and 7</t>
  </si>
  <si>
    <t>Table 4 columns 1 and 8</t>
  </si>
  <si>
    <t>Table 5 4th and 7th grade reading proficiency</t>
  </si>
  <si>
    <t>Hong Zimmer (2016)</t>
  </si>
  <si>
    <t>Table 1 Average bond amount per pupil Total</t>
  </si>
  <si>
    <t>Figure 2</t>
  </si>
  <si>
    <t>pg. 7</t>
  </si>
  <si>
    <t>building</t>
  </si>
  <si>
    <t>Table 5 panel A</t>
  </si>
  <si>
    <t>Martorell Stange McFarlin (2016)</t>
  </si>
  <si>
    <t>Table 1 Bond amount per student All</t>
  </si>
  <si>
    <t>Table 6 FE Math and Reading</t>
  </si>
  <si>
    <t>Neilson Zimmerman (2014)</t>
  </si>
  <si>
    <t>pg. 25</t>
  </si>
  <si>
    <t>Table 4</t>
  </si>
  <si>
    <t>Rauscher (2020)</t>
  </si>
  <si>
    <t>average capital spend chagne years 1-5 (table 5)</t>
  </si>
  <si>
    <t>average capital spend chagne years 1-6 (table 5)</t>
  </si>
  <si>
    <t>Goncalves (2015) LI</t>
  </si>
  <si>
    <t>Rauscher (2020) LI</t>
  </si>
  <si>
    <t>Rauscher (2020) Non-LI</t>
  </si>
  <si>
    <t>Table 3</t>
  </si>
  <si>
    <t>Schlaffer Burge (2020)</t>
  </si>
  <si>
    <t>from MSM (also TX)</t>
  </si>
  <si>
    <t>NZ</t>
  </si>
  <si>
    <t>MSM</t>
  </si>
  <si>
    <t>NZ total</t>
  </si>
  <si>
    <t>MSM total</t>
  </si>
  <si>
    <t>Table 3 column 6</t>
  </si>
  <si>
    <t>Lafortune Schonholzer (2022)</t>
  </si>
  <si>
    <t>Baron (2022)</t>
  </si>
  <si>
    <t>Baron (2022) LI</t>
  </si>
  <si>
    <t>Baron (2022) non-LI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</si>
</sst>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51F6-3D96-D74E-8EBE-9DE8B480DB3E}">
  <dimension ref="A1:S125"/>
  <sheetViews>
    <sheetView tabSelected="1" zoomScaleNormal="100" workbookViewId="0">
      <pane ySplit="1" topLeftCell="A2" activePane="bottomLeft" state="frozen"/>
      <selection pane="bottomLeft" activeCell="F34" sqref="F34"/>
    </sheetView>
  </sheetViews>
  <sheetFormatPr baseColWidth="10" defaultColWidth="11" defaultRowHeight="16" x14ac:dyDescent="0.2"/>
  <cols>
    <col min="5" max="5" width="39" bestFit="1" customWidth="1"/>
    <col min="6" max="6" width="15.33203125" customWidth="1"/>
    <col min="8" max="8" width="20.33203125" bestFit="1" customWidth="1"/>
    <col min="10" max="10" width="41.6640625" bestFit="1" customWidth="1"/>
    <col min="11" max="11" width="37.5" customWidth="1"/>
    <col min="15" max="15" width="19.83203125" bestFit="1" customWidth="1"/>
    <col min="16" max="16" width="20.33203125" bestFit="1" customWidth="1"/>
  </cols>
  <sheetData>
    <row r="1" spans="1:1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>
        <v>0</v>
      </c>
      <c r="B2">
        <v>0</v>
      </c>
      <c r="F2" t="s">
        <v>95</v>
      </c>
      <c r="G2">
        <v>0</v>
      </c>
      <c r="H2">
        <v>0</v>
      </c>
      <c r="I2">
        <v>4400</v>
      </c>
      <c r="J2" t="s">
        <v>19</v>
      </c>
      <c r="K2">
        <f>SUM(4100,2100,-100,-100)</f>
        <v>6000</v>
      </c>
      <c r="L2" t="s">
        <v>20</v>
      </c>
      <c r="M2" t="s">
        <v>21</v>
      </c>
      <c r="N2">
        <v>0</v>
      </c>
      <c r="O2">
        <v>10</v>
      </c>
      <c r="P2">
        <v>30</v>
      </c>
      <c r="Q2">
        <v>10</v>
      </c>
      <c r="R2">
        <v>0</v>
      </c>
      <c r="S2">
        <v>2010</v>
      </c>
    </row>
    <row r="3" spans="1:19" x14ac:dyDescent="0.2">
      <c r="A3">
        <v>-1.1574074074074073E-2</v>
      </c>
      <c r="B3">
        <v>3.5179556456152193E-2</v>
      </c>
      <c r="F3" t="s">
        <v>95</v>
      </c>
      <c r="G3">
        <v>1</v>
      </c>
      <c r="H3">
        <v>0</v>
      </c>
      <c r="I3">
        <v>4400</v>
      </c>
      <c r="J3" t="s">
        <v>22</v>
      </c>
      <c r="K3">
        <f t="shared" ref="K3:K12" si="0">SUM(4100,2100,-100,-100)</f>
        <v>6000</v>
      </c>
      <c r="L3" t="s">
        <v>20</v>
      </c>
      <c r="M3" t="s">
        <v>21</v>
      </c>
      <c r="N3">
        <v>0</v>
      </c>
      <c r="O3">
        <v>10</v>
      </c>
      <c r="P3">
        <v>30</v>
      </c>
      <c r="Q3">
        <v>10</v>
      </c>
      <c r="R3">
        <v>0</v>
      </c>
      <c r="S3">
        <v>2010</v>
      </c>
    </row>
    <row r="4" spans="1:19" x14ac:dyDescent="0.2">
      <c r="A4">
        <v>-2.3148148148148147E-2</v>
      </c>
      <c r="B4">
        <v>3.5179556456152193E-2</v>
      </c>
      <c r="F4" t="s">
        <v>95</v>
      </c>
      <c r="G4">
        <v>2</v>
      </c>
      <c r="H4">
        <v>0</v>
      </c>
      <c r="I4">
        <v>4400</v>
      </c>
      <c r="J4" t="s">
        <v>22</v>
      </c>
      <c r="K4">
        <f t="shared" si="0"/>
        <v>6000</v>
      </c>
      <c r="L4" t="s">
        <v>20</v>
      </c>
      <c r="M4" t="s">
        <v>21</v>
      </c>
      <c r="N4">
        <v>0</v>
      </c>
      <c r="O4">
        <v>10</v>
      </c>
      <c r="P4">
        <v>30</v>
      </c>
      <c r="Q4">
        <v>10</v>
      </c>
      <c r="R4">
        <v>0</v>
      </c>
      <c r="S4">
        <v>2010</v>
      </c>
    </row>
    <row r="5" spans="1:19" x14ac:dyDescent="0.2">
      <c r="A5">
        <v>-3.4722222222222217E-2</v>
      </c>
      <c r="B5">
        <v>3.5179556456152193E-2</v>
      </c>
      <c r="F5" t="s">
        <v>95</v>
      </c>
      <c r="G5">
        <v>3</v>
      </c>
      <c r="H5">
        <v>0</v>
      </c>
      <c r="I5">
        <v>4400</v>
      </c>
      <c r="J5" t="s">
        <v>22</v>
      </c>
      <c r="K5">
        <f t="shared" si="0"/>
        <v>6000</v>
      </c>
      <c r="L5" t="s">
        <v>20</v>
      </c>
      <c r="M5" t="s">
        <v>21</v>
      </c>
      <c r="N5">
        <v>0</v>
      </c>
      <c r="O5">
        <v>10</v>
      </c>
      <c r="P5">
        <v>30</v>
      </c>
      <c r="Q5">
        <v>10</v>
      </c>
      <c r="R5">
        <v>0</v>
      </c>
      <c r="S5">
        <v>2010</v>
      </c>
    </row>
    <row r="6" spans="1:19" x14ac:dyDescent="0.2">
      <c r="A6">
        <v>-3.4722222222222217E-2</v>
      </c>
      <c r="B6">
        <v>3.5179556456152193E-2</v>
      </c>
      <c r="F6" t="s">
        <v>95</v>
      </c>
      <c r="G6">
        <v>4</v>
      </c>
      <c r="H6">
        <v>0</v>
      </c>
      <c r="I6">
        <v>4400</v>
      </c>
      <c r="J6" t="s">
        <v>22</v>
      </c>
      <c r="K6">
        <f t="shared" si="0"/>
        <v>6000</v>
      </c>
      <c r="L6" t="s">
        <v>20</v>
      </c>
      <c r="M6" t="s">
        <v>21</v>
      </c>
      <c r="N6">
        <v>0</v>
      </c>
      <c r="O6">
        <v>10</v>
      </c>
      <c r="P6">
        <v>30</v>
      </c>
      <c r="Q6">
        <v>10</v>
      </c>
      <c r="R6">
        <v>0</v>
      </c>
      <c r="S6">
        <v>2010</v>
      </c>
    </row>
    <row r="7" spans="1:19" x14ac:dyDescent="0.2">
      <c r="A7">
        <v>2.3148148148148147E-2</v>
      </c>
      <c r="B7">
        <v>3.5179556456152193E-2</v>
      </c>
      <c r="F7" t="s">
        <v>95</v>
      </c>
      <c r="G7">
        <v>5</v>
      </c>
      <c r="H7">
        <v>0</v>
      </c>
      <c r="I7">
        <v>4400</v>
      </c>
      <c r="J7" t="s">
        <v>22</v>
      </c>
      <c r="K7">
        <f t="shared" si="0"/>
        <v>6000</v>
      </c>
      <c r="L7" t="s">
        <v>20</v>
      </c>
      <c r="M7" t="s">
        <v>21</v>
      </c>
      <c r="N7">
        <v>0</v>
      </c>
      <c r="O7">
        <v>10</v>
      </c>
      <c r="P7">
        <v>30</v>
      </c>
      <c r="Q7">
        <v>10</v>
      </c>
      <c r="R7">
        <v>0</v>
      </c>
      <c r="S7">
        <v>2010</v>
      </c>
    </row>
    <row r="8" spans="1:19" x14ac:dyDescent="0.2">
      <c r="A8">
        <v>-5.6712962962962965E-2</v>
      </c>
      <c r="B8">
        <v>3.5179556456152193E-2</v>
      </c>
      <c r="F8" t="s">
        <v>95</v>
      </c>
      <c r="G8">
        <v>6</v>
      </c>
      <c r="H8">
        <v>0</v>
      </c>
      <c r="I8">
        <v>4400</v>
      </c>
      <c r="J8" t="s">
        <v>22</v>
      </c>
      <c r="K8">
        <f t="shared" si="0"/>
        <v>6000</v>
      </c>
      <c r="L8" t="s">
        <v>20</v>
      </c>
      <c r="M8" t="s">
        <v>21</v>
      </c>
      <c r="N8">
        <v>0</v>
      </c>
      <c r="O8">
        <v>10</v>
      </c>
      <c r="P8">
        <v>30</v>
      </c>
      <c r="Q8">
        <v>10</v>
      </c>
      <c r="R8">
        <v>0</v>
      </c>
      <c r="S8">
        <v>2010</v>
      </c>
    </row>
    <row r="9" spans="1:19" x14ac:dyDescent="0.2">
      <c r="A9">
        <v>-2.3148148148148147E-2</v>
      </c>
      <c r="B9">
        <v>3.5179556456152193E-2</v>
      </c>
      <c r="F9" t="s">
        <v>95</v>
      </c>
      <c r="G9">
        <v>7</v>
      </c>
      <c r="H9">
        <v>0</v>
      </c>
      <c r="I9">
        <v>4400</v>
      </c>
      <c r="J9" t="s">
        <v>22</v>
      </c>
      <c r="K9">
        <f t="shared" si="0"/>
        <v>6000</v>
      </c>
      <c r="L9" t="s">
        <v>20</v>
      </c>
      <c r="M9" t="s">
        <v>21</v>
      </c>
      <c r="N9">
        <v>0</v>
      </c>
      <c r="O9">
        <v>10</v>
      </c>
      <c r="P9">
        <v>30</v>
      </c>
      <c r="Q9">
        <v>10</v>
      </c>
      <c r="R9">
        <v>0</v>
      </c>
      <c r="S9">
        <v>2010</v>
      </c>
    </row>
    <row r="10" spans="1:19" x14ac:dyDescent="0.2">
      <c r="A10">
        <v>-4.6296296296296294E-2</v>
      </c>
      <c r="B10">
        <v>3.5179556456152193E-2</v>
      </c>
      <c r="F10" t="s">
        <v>95</v>
      </c>
      <c r="G10">
        <v>8</v>
      </c>
      <c r="H10">
        <v>0</v>
      </c>
      <c r="I10">
        <v>4400</v>
      </c>
      <c r="J10" t="s">
        <v>22</v>
      </c>
      <c r="K10">
        <f t="shared" si="0"/>
        <v>6000</v>
      </c>
      <c r="L10" t="s">
        <v>20</v>
      </c>
      <c r="M10" t="s">
        <v>21</v>
      </c>
      <c r="N10">
        <v>0</v>
      </c>
      <c r="O10">
        <v>10</v>
      </c>
      <c r="P10">
        <v>30</v>
      </c>
      <c r="Q10">
        <v>10</v>
      </c>
      <c r="R10">
        <v>0</v>
      </c>
      <c r="S10">
        <v>2010</v>
      </c>
    </row>
    <row r="11" spans="1:19" x14ac:dyDescent="0.2">
      <c r="A11">
        <v>-1.1574074074074073E-2</v>
      </c>
      <c r="B11">
        <v>3.5179556456152193E-2</v>
      </c>
      <c r="F11" t="s">
        <v>95</v>
      </c>
      <c r="G11">
        <v>9</v>
      </c>
      <c r="H11">
        <v>0</v>
      </c>
      <c r="I11">
        <v>4400</v>
      </c>
      <c r="J11" t="s">
        <v>22</v>
      </c>
      <c r="K11">
        <f t="shared" si="0"/>
        <v>6000</v>
      </c>
      <c r="L11" t="s">
        <v>20</v>
      </c>
      <c r="M11" t="s">
        <v>21</v>
      </c>
      <c r="N11">
        <v>0</v>
      </c>
      <c r="O11">
        <v>10</v>
      </c>
      <c r="P11">
        <v>30</v>
      </c>
      <c r="Q11">
        <v>10</v>
      </c>
      <c r="R11">
        <v>0</v>
      </c>
      <c r="S11">
        <v>2010</v>
      </c>
    </row>
    <row r="12" spans="1:19" x14ac:dyDescent="0.2">
      <c r="A12">
        <v>-4.6296296296296294E-2</v>
      </c>
      <c r="B12">
        <v>3.5179556456152193E-2</v>
      </c>
      <c r="F12" t="s">
        <v>95</v>
      </c>
      <c r="G12">
        <v>10</v>
      </c>
      <c r="H12">
        <v>0</v>
      </c>
      <c r="I12">
        <v>4400</v>
      </c>
      <c r="J12" t="s">
        <v>23</v>
      </c>
      <c r="K12">
        <f t="shared" si="0"/>
        <v>6000</v>
      </c>
      <c r="L12" t="s">
        <v>20</v>
      </c>
      <c r="M12" t="s">
        <v>21</v>
      </c>
      <c r="N12">
        <v>0</v>
      </c>
      <c r="O12">
        <v>10</v>
      </c>
      <c r="P12">
        <v>30</v>
      </c>
      <c r="Q12">
        <v>10</v>
      </c>
      <c r="R12">
        <v>0</v>
      </c>
      <c r="S12">
        <v>2010</v>
      </c>
    </row>
    <row r="13" spans="1:19" x14ac:dyDescent="0.2">
      <c r="A13">
        <v>0</v>
      </c>
      <c r="B13">
        <v>0</v>
      </c>
      <c r="F13" t="s">
        <v>96</v>
      </c>
      <c r="G13">
        <v>0</v>
      </c>
      <c r="H13">
        <v>0</v>
      </c>
      <c r="I13">
        <v>4812</v>
      </c>
      <c r="J13" t="s">
        <v>24</v>
      </c>
      <c r="K13">
        <f>SUM(4812,3601,537,-201,54)</f>
        <v>8803</v>
      </c>
      <c r="L13" t="s">
        <v>25</v>
      </c>
      <c r="M13" t="s">
        <v>21</v>
      </c>
      <c r="N13">
        <v>0</v>
      </c>
      <c r="O13">
        <v>10</v>
      </c>
      <c r="P13">
        <v>30</v>
      </c>
      <c r="Q13">
        <v>10</v>
      </c>
      <c r="R13">
        <v>0</v>
      </c>
      <c r="S13">
        <v>2010</v>
      </c>
    </row>
    <row r="14" spans="1:19" x14ac:dyDescent="0.2">
      <c r="A14">
        <v>6.1759259259259257E-2</v>
      </c>
      <c r="B14">
        <v>7.5300925925925924E-2</v>
      </c>
      <c r="F14" t="s">
        <v>96</v>
      </c>
      <c r="G14">
        <v>1</v>
      </c>
      <c r="H14">
        <v>0</v>
      </c>
      <c r="I14">
        <v>4812</v>
      </c>
      <c r="J14" t="s">
        <v>24</v>
      </c>
      <c r="K14">
        <f t="shared" ref="K14:K23" si="1">SUM(4812,3601,537,-201,54)</f>
        <v>8803</v>
      </c>
      <c r="L14" t="s">
        <v>26</v>
      </c>
      <c r="M14" t="s">
        <v>21</v>
      </c>
      <c r="N14">
        <v>0</v>
      </c>
      <c r="O14">
        <v>10</v>
      </c>
      <c r="P14">
        <v>30</v>
      </c>
      <c r="Q14">
        <v>10</v>
      </c>
      <c r="R14">
        <v>0</v>
      </c>
      <c r="S14">
        <v>2010</v>
      </c>
    </row>
    <row r="15" spans="1:19" x14ac:dyDescent="0.2">
      <c r="A15">
        <v>-4.3541666666666666E-2</v>
      </c>
      <c r="B15">
        <v>5.9444444444444439E-2</v>
      </c>
      <c r="F15" t="s">
        <v>96</v>
      </c>
      <c r="G15">
        <v>2</v>
      </c>
      <c r="H15">
        <v>0</v>
      </c>
      <c r="I15">
        <v>4812</v>
      </c>
      <c r="J15" t="s">
        <v>24</v>
      </c>
      <c r="K15">
        <f t="shared" si="1"/>
        <v>8803</v>
      </c>
      <c r="L15" t="s">
        <v>27</v>
      </c>
      <c r="M15" t="s">
        <v>21</v>
      </c>
      <c r="N15">
        <v>0</v>
      </c>
      <c r="O15">
        <v>10</v>
      </c>
      <c r="P15">
        <v>30</v>
      </c>
      <c r="Q15">
        <v>10</v>
      </c>
      <c r="R15">
        <v>0</v>
      </c>
      <c r="S15">
        <v>2010</v>
      </c>
    </row>
    <row r="16" spans="1:19" x14ac:dyDescent="0.2">
      <c r="A16">
        <v>6.3981481481481473E-2</v>
      </c>
      <c r="B16">
        <v>8.5532407407407404E-2</v>
      </c>
      <c r="F16" t="s">
        <v>96</v>
      </c>
      <c r="G16">
        <v>3</v>
      </c>
      <c r="H16">
        <v>0</v>
      </c>
      <c r="I16">
        <v>4812</v>
      </c>
      <c r="J16" t="s">
        <v>24</v>
      </c>
      <c r="K16">
        <f t="shared" si="1"/>
        <v>8803</v>
      </c>
      <c r="L16" t="s">
        <v>28</v>
      </c>
      <c r="M16" t="s">
        <v>21</v>
      </c>
      <c r="N16">
        <v>0</v>
      </c>
      <c r="O16">
        <v>10</v>
      </c>
      <c r="P16">
        <v>30</v>
      </c>
      <c r="Q16">
        <v>10</v>
      </c>
      <c r="R16">
        <v>0</v>
      </c>
      <c r="S16">
        <v>2010</v>
      </c>
    </row>
    <row r="17" spans="1:19" x14ac:dyDescent="0.2">
      <c r="A17">
        <v>7.3055555555555554E-2</v>
      </c>
      <c r="B17">
        <v>7.8703703703703692E-2</v>
      </c>
      <c r="F17" t="s">
        <v>96</v>
      </c>
      <c r="G17">
        <v>4</v>
      </c>
      <c r="H17">
        <v>0</v>
      </c>
      <c r="I17">
        <v>4812</v>
      </c>
      <c r="J17" t="s">
        <v>24</v>
      </c>
      <c r="K17">
        <f t="shared" si="1"/>
        <v>8803</v>
      </c>
      <c r="L17" t="s">
        <v>29</v>
      </c>
      <c r="M17" t="s">
        <v>21</v>
      </c>
      <c r="N17">
        <v>0</v>
      </c>
      <c r="O17">
        <v>10</v>
      </c>
      <c r="P17">
        <v>30</v>
      </c>
      <c r="Q17">
        <v>10</v>
      </c>
      <c r="R17">
        <v>0</v>
      </c>
      <c r="S17">
        <v>2010</v>
      </c>
    </row>
    <row r="18" spans="1:19" x14ac:dyDescent="0.2">
      <c r="A18">
        <v>5.7615740740740731E-2</v>
      </c>
      <c r="B18">
        <v>7.8680555555555545E-2</v>
      </c>
      <c r="F18" t="s">
        <v>96</v>
      </c>
      <c r="G18">
        <v>5</v>
      </c>
      <c r="H18">
        <v>0</v>
      </c>
      <c r="I18">
        <v>4812</v>
      </c>
      <c r="J18" t="s">
        <v>24</v>
      </c>
      <c r="K18">
        <f t="shared" si="1"/>
        <v>8803</v>
      </c>
      <c r="L18" t="s">
        <v>30</v>
      </c>
      <c r="M18" t="s">
        <v>21</v>
      </c>
      <c r="N18">
        <v>0</v>
      </c>
      <c r="O18">
        <v>10</v>
      </c>
      <c r="P18">
        <v>30</v>
      </c>
      <c r="Q18">
        <v>10</v>
      </c>
      <c r="R18">
        <v>0</v>
      </c>
      <c r="S18">
        <v>2010</v>
      </c>
    </row>
    <row r="19" spans="1:19" x14ac:dyDescent="0.2">
      <c r="A19">
        <v>-5.5740740740740737E-2</v>
      </c>
      <c r="B19">
        <v>8.2152777777777769E-2</v>
      </c>
      <c r="F19" t="s">
        <v>96</v>
      </c>
      <c r="G19">
        <v>6</v>
      </c>
      <c r="H19">
        <v>0</v>
      </c>
      <c r="I19">
        <v>4812</v>
      </c>
      <c r="J19" t="s">
        <v>24</v>
      </c>
      <c r="K19">
        <f t="shared" si="1"/>
        <v>8803</v>
      </c>
      <c r="L19" t="s">
        <v>31</v>
      </c>
      <c r="M19" t="s">
        <v>21</v>
      </c>
      <c r="N19">
        <v>0</v>
      </c>
      <c r="O19">
        <v>10</v>
      </c>
      <c r="P19">
        <v>30</v>
      </c>
      <c r="Q19">
        <v>10</v>
      </c>
      <c r="R19">
        <v>0</v>
      </c>
      <c r="S19">
        <v>2010</v>
      </c>
    </row>
    <row r="20" spans="1:19" x14ac:dyDescent="0.2">
      <c r="A20">
        <v>-9.6898148148148136E-2</v>
      </c>
      <c r="B20">
        <v>8.5717592592592581E-2</v>
      </c>
      <c r="F20" t="s">
        <v>96</v>
      </c>
      <c r="G20">
        <v>7</v>
      </c>
      <c r="H20">
        <v>0</v>
      </c>
      <c r="I20">
        <v>4812</v>
      </c>
      <c r="J20" t="s">
        <v>24</v>
      </c>
      <c r="K20">
        <f t="shared" si="1"/>
        <v>8803</v>
      </c>
      <c r="L20" t="s">
        <v>32</v>
      </c>
      <c r="M20" t="s">
        <v>21</v>
      </c>
      <c r="N20">
        <v>0</v>
      </c>
      <c r="O20">
        <v>10</v>
      </c>
      <c r="P20">
        <v>30</v>
      </c>
      <c r="Q20">
        <v>10</v>
      </c>
      <c r="R20">
        <v>0</v>
      </c>
      <c r="S20">
        <v>2010</v>
      </c>
    </row>
    <row r="21" spans="1:19" x14ac:dyDescent="0.2">
      <c r="A21">
        <v>-6.9444444444444441E-3</v>
      </c>
      <c r="B21">
        <v>8.8449074074074069E-2</v>
      </c>
      <c r="F21" t="s">
        <v>96</v>
      </c>
      <c r="G21">
        <v>8</v>
      </c>
      <c r="H21">
        <v>0</v>
      </c>
      <c r="I21">
        <v>4812</v>
      </c>
      <c r="J21" t="s">
        <v>24</v>
      </c>
      <c r="K21">
        <f t="shared" si="1"/>
        <v>8803</v>
      </c>
      <c r="L21" t="s">
        <v>33</v>
      </c>
      <c r="M21" t="s">
        <v>21</v>
      </c>
      <c r="N21">
        <v>0</v>
      </c>
      <c r="O21">
        <v>10</v>
      </c>
      <c r="P21">
        <v>30</v>
      </c>
      <c r="Q21">
        <v>10</v>
      </c>
      <c r="R21">
        <v>0</v>
      </c>
      <c r="S21">
        <v>2010</v>
      </c>
    </row>
    <row r="22" spans="1:19" x14ac:dyDescent="0.2">
      <c r="A22">
        <v>-9.6458333333333326E-2</v>
      </c>
      <c r="B22">
        <v>9.1898148148148145E-2</v>
      </c>
      <c r="F22" t="s">
        <v>96</v>
      </c>
      <c r="G22">
        <v>9</v>
      </c>
      <c r="H22">
        <v>0</v>
      </c>
      <c r="I22">
        <v>4812</v>
      </c>
      <c r="J22" t="s">
        <v>24</v>
      </c>
      <c r="K22">
        <f t="shared" si="1"/>
        <v>8803</v>
      </c>
      <c r="L22" t="s">
        <v>34</v>
      </c>
      <c r="M22" t="s">
        <v>21</v>
      </c>
      <c r="N22">
        <v>0</v>
      </c>
      <c r="O22">
        <v>10</v>
      </c>
      <c r="P22">
        <v>30</v>
      </c>
      <c r="Q22">
        <v>10</v>
      </c>
      <c r="R22">
        <v>0</v>
      </c>
      <c r="S22">
        <v>2010</v>
      </c>
    </row>
    <row r="23" spans="1:19" x14ac:dyDescent="0.2">
      <c r="A23">
        <v>-0.13351851851851851</v>
      </c>
      <c r="B23">
        <v>0.1018287037037037</v>
      </c>
      <c r="F23" t="s">
        <v>96</v>
      </c>
      <c r="G23">
        <v>10</v>
      </c>
      <c r="H23">
        <v>0</v>
      </c>
      <c r="I23">
        <v>4812</v>
      </c>
      <c r="J23" t="s">
        <v>24</v>
      </c>
      <c r="K23">
        <f t="shared" si="1"/>
        <v>8803</v>
      </c>
      <c r="L23" t="s">
        <v>35</v>
      </c>
      <c r="M23" t="s">
        <v>21</v>
      </c>
      <c r="N23">
        <v>0</v>
      </c>
      <c r="O23">
        <v>10</v>
      </c>
      <c r="P23">
        <v>30</v>
      </c>
      <c r="Q23">
        <v>10</v>
      </c>
      <c r="R23">
        <v>0</v>
      </c>
      <c r="S23">
        <v>2010</v>
      </c>
    </row>
    <row r="24" spans="1:19" x14ac:dyDescent="0.2">
      <c r="A24">
        <v>0</v>
      </c>
      <c r="B24">
        <v>0</v>
      </c>
      <c r="F24" t="s">
        <v>97</v>
      </c>
      <c r="G24">
        <v>0</v>
      </c>
      <c r="H24">
        <v>0</v>
      </c>
      <c r="I24">
        <v>4037</v>
      </c>
      <c r="J24" t="s">
        <v>24</v>
      </c>
      <c r="K24">
        <f>SUM(4037,1548,-506,-716,-1021)</f>
        <v>3342</v>
      </c>
      <c r="L24" t="s">
        <v>36</v>
      </c>
      <c r="M24" t="s">
        <v>21</v>
      </c>
      <c r="N24">
        <v>0</v>
      </c>
      <c r="O24">
        <v>10</v>
      </c>
      <c r="P24">
        <v>30</v>
      </c>
      <c r="Q24">
        <v>10</v>
      </c>
      <c r="R24">
        <v>0</v>
      </c>
      <c r="S24">
        <v>2010</v>
      </c>
    </row>
    <row r="25" spans="1:19" x14ac:dyDescent="0.2">
      <c r="A25">
        <v>1.7499999999999998E-2</v>
      </c>
      <c r="B25">
        <v>5.423611111111111E-2</v>
      </c>
      <c r="F25" t="s">
        <v>97</v>
      </c>
      <c r="G25">
        <v>1</v>
      </c>
      <c r="H25">
        <v>0</v>
      </c>
      <c r="I25">
        <v>4037</v>
      </c>
      <c r="J25" t="s">
        <v>24</v>
      </c>
      <c r="K25">
        <f t="shared" ref="K25:K34" si="2">SUM(4037,1548,-506,-716,-1021)</f>
        <v>3342</v>
      </c>
      <c r="L25" t="s">
        <v>37</v>
      </c>
      <c r="M25" t="s">
        <v>21</v>
      </c>
      <c r="N25">
        <v>0</v>
      </c>
      <c r="O25">
        <v>10</v>
      </c>
      <c r="P25">
        <v>30</v>
      </c>
      <c r="Q25">
        <v>10</v>
      </c>
      <c r="R25">
        <v>0</v>
      </c>
      <c r="S25">
        <v>2010</v>
      </c>
    </row>
    <row r="26" spans="1:19" x14ac:dyDescent="0.2">
      <c r="A26">
        <v>9.5601851851851837E-3</v>
      </c>
      <c r="B26">
        <v>4.9097222222222216E-2</v>
      </c>
      <c r="F26" t="s">
        <v>97</v>
      </c>
      <c r="G26">
        <v>2</v>
      </c>
      <c r="H26">
        <v>0</v>
      </c>
      <c r="I26">
        <v>4037</v>
      </c>
      <c r="J26" t="s">
        <v>24</v>
      </c>
      <c r="K26">
        <f t="shared" si="2"/>
        <v>3342</v>
      </c>
      <c r="L26" t="s">
        <v>38</v>
      </c>
      <c r="M26" t="s">
        <v>21</v>
      </c>
      <c r="N26">
        <v>0</v>
      </c>
      <c r="O26">
        <v>10</v>
      </c>
      <c r="P26">
        <v>30</v>
      </c>
      <c r="Q26">
        <v>10</v>
      </c>
      <c r="R26">
        <v>0</v>
      </c>
      <c r="S26">
        <v>2010</v>
      </c>
    </row>
    <row r="27" spans="1:19" x14ac:dyDescent="0.2">
      <c r="A27">
        <v>-4.1180555555555554E-2</v>
      </c>
      <c r="B27">
        <v>4.9791666666666658E-2</v>
      </c>
      <c r="F27" t="s">
        <v>97</v>
      </c>
      <c r="G27">
        <v>3</v>
      </c>
      <c r="H27">
        <v>0</v>
      </c>
      <c r="I27">
        <v>4037</v>
      </c>
      <c r="J27" t="s">
        <v>24</v>
      </c>
      <c r="K27">
        <f t="shared" si="2"/>
        <v>3342</v>
      </c>
      <c r="L27" t="s">
        <v>39</v>
      </c>
      <c r="M27" t="s">
        <v>21</v>
      </c>
      <c r="N27">
        <v>0</v>
      </c>
      <c r="O27">
        <v>10</v>
      </c>
      <c r="P27">
        <v>30</v>
      </c>
      <c r="Q27">
        <v>10</v>
      </c>
      <c r="R27">
        <v>0</v>
      </c>
      <c r="S27">
        <v>2010</v>
      </c>
    </row>
    <row r="28" spans="1:19" x14ac:dyDescent="0.2">
      <c r="A28">
        <v>-9.0578703703703689E-2</v>
      </c>
      <c r="B28">
        <v>5.2615740740740741E-2</v>
      </c>
      <c r="F28" t="s">
        <v>97</v>
      </c>
      <c r="G28">
        <v>4</v>
      </c>
      <c r="H28">
        <v>0</v>
      </c>
      <c r="I28">
        <v>4037</v>
      </c>
      <c r="J28" t="s">
        <v>24</v>
      </c>
      <c r="K28">
        <f t="shared" si="2"/>
        <v>3342</v>
      </c>
      <c r="L28" t="s">
        <v>40</v>
      </c>
      <c r="M28" t="s">
        <v>21</v>
      </c>
      <c r="N28">
        <v>0</v>
      </c>
      <c r="O28">
        <v>10</v>
      </c>
      <c r="P28">
        <v>30</v>
      </c>
      <c r="Q28">
        <v>10</v>
      </c>
      <c r="R28">
        <v>0</v>
      </c>
      <c r="S28">
        <v>2010</v>
      </c>
    </row>
    <row r="29" spans="1:19" x14ac:dyDescent="0.2">
      <c r="A29">
        <v>-3.923611111111111E-2</v>
      </c>
      <c r="B29">
        <v>6.2268518518518515E-2</v>
      </c>
      <c r="F29" t="s">
        <v>97</v>
      </c>
      <c r="G29">
        <v>5</v>
      </c>
      <c r="H29">
        <v>0</v>
      </c>
      <c r="I29">
        <v>4037</v>
      </c>
      <c r="J29" t="s">
        <v>24</v>
      </c>
      <c r="K29">
        <f t="shared" si="2"/>
        <v>3342</v>
      </c>
      <c r="L29" t="s">
        <v>41</v>
      </c>
      <c r="M29" t="s">
        <v>21</v>
      </c>
      <c r="N29">
        <v>0</v>
      </c>
      <c r="O29">
        <v>10</v>
      </c>
      <c r="P29">
        <v>30</v>
      </c>
      <c r="Q29">
        <v>10</v>
      </c>
      <c r="R29">
        <v>0</v>
      </c>
      <c r="S29">
        <v>2010</v>
      </c>
    </row>
    <row r="30" spans="1:19" x14ac:dyDescent="0.2">
      <c r="A30">
        <v>-0.11562499999999999</v>
      </c>
      <c r="B30">
        <v>6.4421296296296296E-2</v>
      </c>
      <c r="F30" t="s">
        <v>97</v>
      </c>
      <c r="G30">
        <v>6</v>
      </c>
      <c r="H30">
        <v>0</v>
      </c>
      <c r="I30">
        <v>4037</v>
      </c>
      <c r="J30" t="s">
        <v>24</v>
      </c>
      <c r="K30">
        <f t="shared" si="2"/>
        <v>3342</v>
      </c>
      <c r="L30" t="s">
        <v>42</v>
      </c>
      <c r="M30" t="s">
        <v>21</v>
      </c>
      <c r="N30">
        <v>0</v>
      </c>
      <c r="O30">
        <v>10</v>
      </c>
      <c r="P30">
        <v>30</v>
      </c>
      <c r="Q30">
        <v>10</v>
      </c>
      <c r="R30">
        <v>0</v>
      </c>
      <c r="S30">
        <v>2010</v>
      </c>
    </row>
    <row r="31" spans="1:19" x14ac:dyDescent="0.2">
      <c r="A31">
        <v>-0.10289351851851852</v>
      </c>
      <c r="B31">
        <v>6.5694444444444444E-2</v>
      </c>
      <c r="F31" t="s">
        <v>97</v>
      </c>
      <c r="G31">
        <v>7</v>
      </c>
      <c r="H31">
        <v>0</v>
      </c>
      <c r="I31">
        <v>4037</v>
      </c>
      <c r="J31" t="s">
        <v>24</v>
      </c>
      <c r="K31">
        <f t="shared" si="2"/>
        <v>3342</v>
      </c>
      <c r="L31" t="s">
        <v>43</v>
      </c>
      <c r="M31" t="s">
        <v>21</v>
      </c>
      <c r="N31">
        <v>0</v>
      </c>
      <c r="O31">
        <v>10</v>
      </c>
      <c r="P31">
        <v>30</v>
      </c>
      <c r="Q31">
        <v>10</v>
      </c>
      <c r="R31">
        <v>0</v>
      </c>
      <c r="S31">
        <v>2010</v>
      </c>
    </row>
    <row r="32" spans="1:19" x14ac:dyDescent="0.2">
      <c r="A32">
        <v>-0.10972222222222222</v>
      </c>
      <c r="B32">
        <v>6.8657407407407403E-2</v>
      </c>
      <c r="F32" t="s">
        <v>97</v>
      </c>
      <c r="G32">
        <v>8</v>
      </c>
      <c r="H32">
        <v>0</v>
      </c>
      <c r="I32">
        <v>4037</v>
      </c>
      <c r="J32" t="s">
        <v>24</v>
      </c>
      <c r="K32">
        <f t="shared" si="2"/>
        <v>3342</v>
      </c>
      <c r="L32" t="s">
        <v>44</v>
      </c>
      <c r="M32" t="s">
        <v>21</v>
      </c>
      <c r="N32">
        <v>0</v>
      </c>
      <c r="O32">
        <v>10</v>
      </c>
      <c r="P32">
        <v>30</v>
      </c>
      <c r="Q32">
        <v>10</v>
      </c>
      <c r="R32">
        <v>0</v>
      </c>
      <c r="S32">
        <v>2010</v>
      </c>
    </row>
    <row r="33" spans="1:19" x14ac:dyDescent="0.2">
      <c r="A33">
        <v>-2.0787037037037034E-2</v>
      </c>
      <c r="B33">
        <v>7.3055555555555554E-2</v>
      </c>
      <c r="F33" t="s">
        <v>97</v>
      </c>
      <c r="G33">
        <v>9</v>
      </c>
      <c r="H33">
        <v>0</v>
      </c>
      <c r="I33">
        <v>4037</v>
      </c>
      <c r="J33" t="s">
        <v>24</v>
      </c>
      <c r="K33">
        <f t="shared" si="2"/>
        <v>3342</v>
      </c>
      <c r="L33" t="s">
        <v>45</v>
      </c>
      <c r="M33" t="s">
        <v>21</v>
      </c>
      <c r="N33">
        <v>0</v>
      </c>
      <c r="O33">
        <v>10</v>
      </c>
      <c r="P33">
        <v>30</v>
      </c>
      <c r="Q33">
        <v>10</v>
      </c>
      <c r="R33">
        <v>0</v>
      </c>
      <c r="S33">
        <v>2010</v>
      </c>
    </row>
    <row r="34" spans="1:19" x14ac:dyDescent="0.2">
      <c r="A34">
        <v>-4.8611111111111112E-2</v>
      </c>
      <c r="B34">
        <v>7.3680555555555541E-2</v>
      </c>
      <c r="F34" t="s">
        <v>97</v>
      </c>
      <c r="G34">
        <v>10</v>
      </c>
      <c r="H34">
        <v>0</v>
      </c>
      <c r="I34">
        <v>4037</v>
      </c>
      <c r="J34" t="s">
        <v>24</v>
      </c>
      <c r="K34">
        <f t="shared" si="2"/>
        <v>3342</v>
      </c>
      <c r="L34" t="s">
        <v>46</v>
      </c>
      <c r="M34" t="s">
        <v>21</v>
      </c>
      <c r="N34">
        <v>0</v>
      </c>
      <c r="O34">
        <v>10</v>
      </c>
      <c r="P34">
        <v>30</v>
      </c>
      <c r="Q34">
        <v>10</v>
      </c>
      <c r="R34">
        <v>0</v>
      </c>
      <c r="S34">
        <v>2010</v>
      </c>
    </row>
    <row r="35" spans="1:19" x14ac:dyDescent="0.2">
      <c r="A35" s="1">
        <v>0</v>
      </c>
      <c r="B35" s="1">
        <v>0</v>
      </c>
      <c r="C35" s="1">
        <v>0</v>
      </c>
      <c r="D35" s="1">
        <v>0</v>
      </c>
      <c r="E35" t="s">
        <v>47</v>
      </c>
      <c r="F35" t="s">
        <v>48</v>
      </c>
      <c r="G35">
        <v>0</v>
      </c>
      <c r="H35">
        <v>1</v>
      </c>
      <c r="I35">
        <v>6300</v>
      </c>
      <c r="J35" t="s">
        <v>49</v>
      </c>
      <c r="K35">
        <f>SUM(198,853,1688,1841,1169)</f>
        <v>5749</v>
      </c>
      <c r="L35" t="s">
        <v>50</v>
      </c>
      <c r="M35" t="s">
        <v>21</v>
      </c>
      <c r="N35">
        <v>0</v>
      </c>
      <c r="O35">
        <v>10</v>
      </c>
      <c r="P35">
        <v>30</v>
      </c>
      <c r="Q35">
        <v>6</v>
      </c>
      <c r="R35">
        <v>1</v>
      </c>
      <c r="S35">
        <v>2000</v>
      </c>
    </row>
    <row r="36" spans="1:19" x14ac:dyDescent="0.2">
      <c r="A36" s="1">
        <v>-5.7749999999999998E-3</v>
      </c>
      <c r="B36" s="1">
        <v>2.7431250000000001E-2</v>
      </c>
      <c r="C36" s="1">
        <v>-6.5049000000000001E-3</v>
      </c>
      <c r="D36" s="1">
        <v>3.5126209999999998E-2</v>
      </c>
      <c r="E36" t="s">
        <v>47</v>
      </c>
      <c r="F36" t="s">
        <v>48</v>
      </c>
      <c r="G36">
        <v>1</v>
      </c>
      <c r="H36">
        <v>1</v>
      </c>
      <c r="I36">
        <v>6300</v>
      </c>
      <c r="J36" t="s">
        <v>49</v>
      </c>
      <c r="K36">
        <f t="shared" ref="K36:K41" si="3">SUM(198,853,1688,1841,1169)</f>
        <v>5749</v>
      </c>
      <c r="L36" t="s">
        <v>50</v>
      </c>
      <c r="M36" t="s">
        <v>21</v>
      </c>
      <c r="N36">
        <v>0</v>
      </c>
      <c r="O36">
        <v>10</v>
      </c>
      <c r="P36">
        <v>30</v>
      </c>
      <c r="Q36">
        <v>6</v>
      </c>
      <c r="R36">
        <v>1</v>
      </c>
      <c r="S36">
        <v>2000</v>
      </c>
    </row>
    <row r="37" spans="1:19" x14ac:dyDescent="0.2">
      <c r="A37" s="1">
        <v>-1.6362499999999999E-2</v>
      </c>
      <c r="B37" s="1">
        <v>2.59875E-2</v>
      </c>
      <c r="C37" s="1">
        <v>-1.4961199999999999E-2</v>
      </c>
      <c r="D37" s="1">
        <v>3.3174759999999998E-2</v>
      </c>
      <c r="E37" t="s">
        <v>47</v>
      </c>
      <c r="F37" t="s">
        <v>48</v>
      </c>
      <c r="G37">
        <v>2</v>
      </c>
      <c r="H37">
        <v>1</v>
      </c>
      <c r="I37">
        <v>6300</v>
      </c>
      <c r="J37" t="s">
        <v>49</v>
      </c>
      <c r="K37">
        <f t="shared" si="3"/>
        <v>5749</v>
      </c>
      <c r="L37" t="s">
        <v>50</v>
      </c>
      <c r="M37" t="s">
        <v>21</v>
      </c>
      <c r="N37">
        <v>0</v>
      </c>
      <c r="O37">
        <v>10</v>
      </c>
      <c r="P37">
        <v>30</v>
      </c>
      <c r="Q37">
        <v>6</v>
      </c>
      <c r="R37">
        <v>1</v>
      </c>
      <c r="S37">
        <v>2000</v>
      </c>
    </row>
    <row r="38" spans="1:19" x14ac:dyDescent="0.2">
      <c r="A38" s="1">
        <v>1.4437500000000001E-2</v>
      </c>
      <c r="B38" s="1">
        <v>2.9837499999999999E-2</v>
      </c>
      <c r="C38" s="1">
        <v>3.7728159999999997E-2</v>
      </c>
      <c r="D38" s="1">
        <v>3.4475730000000003E-2</v>
      </c>
      <c r="E38" t="s">
        <v>47</v>
      </c>
      <c r="F38" t="s">
        <v>48</v>
      </c>
      <c r="G38">
        <v>3</v>
      </c>
      <c r="H38">
        <v>1</v>
      </c>
      <c r="I38">
        <v>6300</v>
      </c>
      <c r="J38" t="s">
        <v>49</v>
      </c>
      <c r="K38">
        <f t="shared" si="3"/>
        <v>5749</v>
      </c>
      <c r="L38" t="s">
        <v>50</v>
      </c>
      <c r="M38" t="s">
        <v>21</v>
      </c>
      <c r="N38">
        <v>0</v>
      </c>
      <c r="O38">
        <v>10</v>
      </c>
      <c r="P38">
        <v>30</v>
      </c>
      <c r="Q38">
        <v>6</v>
      </c>
      <c r="R38">
        <v>1</v>
      </c>
      <c r="S38">
        <v>2000</v>
      </c>
    </row>
    <row r="39" spans="1:19" x14ac:dyDescent="0.2">
      <c r="A39" s="1">
        <v>1.2512499999999999E-2</v>
      </c>
      <c r="B39" s="1">
        <v>2.9837499999999999E-2</v>
      </c>
      <c r="C39" s="1">
        <v>-1.69126E-2</v>
      </c>
      <c r="D39" s="1">
        <v>3.7728159999999997E-2</v>
      </c>
      <c r="E39" t="s">
        <v>47</v>
      </c>
      <c r="F39" t="s">
        <v>48</v>
      </c>
      <c r="G39">
        <v>4</v>
      </c>
      <c r="H39">
        <v>1</v>
      </c>
      <c r="I39">
        <v>6300</v>
      </c>
      <c r="J39" t="s">
        <v>49</v>
      </c>
      <c r="K39">
        <f t="shared" si="3"/>
        <v>5749</v>
      </c>
      <c r="L39" t="s">
        <v>50</v>
      </c>
      <c r="M39" t="s">
        <v>21</v>
      </c>
      <c r="N39">
        <v>0</v>
      </c>
      <c r="O39">
        <v>10</v>
      </c>
      <c r="P39">
        <v>30</v>
      </c>
      <c r="Q39">
        <v>6</v>
      </c>
      <c r="R39">
        <v>1</v>
      </c>
      <c r="S39">
        <v>2000</v>
      </c>
    </row>
    <row r="40" spans="1:19" x14ac:dyDescent="0.2">
      <c r="A40" s="1">
        <v>2.79125E-2</v>
      </c>
      <c r="B40" s="1">
        <v>3.320625E-2</v>
      </c>
      <c r="C40" s="1">
        <v>2.5368930000000001E-2</v>
      </c>
      <c r="D40" s="1">
        <v>3.9679609999999997E-2</v>
      </c>
      <c r="E40" t="s">
        <v>47</v>
      </c>
      <c r="F40" t="s">
        <v>48</v>
      </c>
      <c r="G40">
        <v>5</v>
      </c>
      <c r="H40">
        <v>1</v>
      </c>
      <c r="I40">
        <v>6300</v>
      </c>
      <c r="J40" s="1" t="s">
        <v>49</v>
      </c>
      <c r="K40">
        <f t="shared" si="3"/>
        <v>5749</v>
      </c>
      <c r="L40" t="s">
        <v>50</v>
      </c>
      <c r="M40" t="s">
        <v>21</v>
      </c>
      <c r="N40">
        <v>0</v>
      </c>
      <c r="O40">
        <v>10</v>
      </c>
      <c r="P40">
        <v>30</v>
      </c>
      <c r="Q40">
        <v>6</v>
      </c>
      <c r="R40">
        <v>1</v>
      </c>
      <c r="S40">
        <v>2000</v>
      </c>
    </row>
    <row r="41" spans="1:19" x14ac:dyDescent="0.2">
      <c r="A41" s="1">
        <v>7.6999999999999999E-2</v>
      </c>
      <c r="B41" s="1">
        <v>3.6093750000000001E-2</v>
      </c>
      <c r="C41" s="1">
        <v>6.7000000000000004E-2</v>
      </c>
      <c r="D41" s="1">
        <v>4.1631069999999999E-2</v>
      </c>
      <c r="E41" t="s">
        <v>47</v>
      </c>
      <c r="F41" t="s">
        <v>48</v>
      </c>
      <c r="G41" s="1">
        <v>6</v>
      </c>
      <c r="H41">
        <v>1</v>
      </c>
      <c r="I41">
        <v>6300</v>
      </c>
      <c r="J41" s="1" t="s">
        <v>49</v>
      </c>
      <c r="K41">
        <f t="shared" si="3"/>
        <v>5749</v>
      </c>
      <c r="L41" t="s">
        <v>50</v>
      </c>
      <c r="M41" t="s">
        <v>21</v>
      </c>
      <c r="N41">
        <v>0</v>
      </c>
      <c r="O41">
        <v>10</v>
      </c>
      <c r="P41">
        <v>30</v>
      </c>
      <c r="Q41">
        <v>6</v>
      </c>
      <c r="R41">
        <v>1</v>
      </c>
      <c r="S41">
        <v>2000</v>
      </c>
    </row>
    <row r="42" spans="1:19" x14ac:dyDescent="0.2">
      <c r="A42">
        <v>-2.9569767517018041E-3</v>
      </c>
      <c r="B42">
        <v>1.5366965796245597E-3</v>
      </c>
      <c r="C42">
        <v>1.2890052997925308E-3</v>
      </c>
      <c r="D42">
        <v>1.1311679161444656E-3</v>
      </c>
      <c r="E42" t="s">
        <v>51</v>
      </c>
      <c r="F42" t="s">
        <v>52</v>
      </c>
      <c r="G42">
        <v>0</v>
      </c>
      <c r="H42">
        <v>1</v>
      </c>
      <c r="I42">
        <v>4000</v>
      </c>
      <c r="J42" t="s">
        <v>53</v>
      </c>
      <c r="K42">
        <v>4000</v>
      </c>
      <c r="L42" t="s">
        <v>53</v>
      </c>
      <c r="M42" t="s">
        <v>21</v>
      </c>
      <c r="N42">
        <v>0</v>
      </c>
      <c r="O42">
        <v>10</v>
      </c>
      <c r="P42">
        <v>30</v>
      </c>
      <c r="Q42">
        <v>3</v>
      </c>
      <c r="R42">
        <v>1</v>
      </c>
      <c r="S42">
        <v>2013</v>
      </c>
    </row>
    <row r="43" spans="1:19" x14ac:dyDescent="0.2">
      <c r="A43">
        <v>-1.024464386416373E-3</v>
      </c>
      <c r="B43">
        <v>2.4447445584936177E-3</v>
      </c>
      <c r="C43">
        <v>-7.8918691824032502E-5</v>
      </c>
      <c r="D43">
        <v>1.7888236813447366E-3</v>
      </c>
      <c r="E43" t="s">
        <v>54</v>
      </c>
      <c r="F43" t="s">
        <v>52</v>
      </c>
      <c r="G43">
        <v>1</v>
      </c>
      <c r="H43">
        <v>1</v>
      </c>
      <c r="I43">
        <v>4000</v>
      </c>
      <c r="J43" t="s">
        <v>53</v>
      </c>
      <c r="K43">
        <v>4000</v>
      </c>
      <c r="L43" t="s">
        <v>53</v>
      </c>
      <c r="M43" t="s">
        <v>21</v>
      </c>
      <c r="N43">
        <v>0</v>
      </c>
      <c r="O43">
        <v>10</v>
      </c>
      <c r="P43">
        <v>30</v>
      </c>
      <c r="Q43">
        <v>3</v>
      </c>
      <c r="R43">
        <v>1</v>
      </c>
      <c r="S43">
        <v>2013</v>
      </c>
    </row>
    <row r="44" spans="1:19" x14ac:dyDescent="0.2">
      <c r="A44">
        <v>-1.9092290837759681E-3</v>
      </c>
      <c r="B44">
        <v>2.7939937811355627E-3</v>
      </c>
      <c r="C44">
        <v>-1.6835987589126932E-3</v>
      </c>
      <c r="D44">
        <v>1.7888236813447366E-3</v>
      </c>
      <c r="E44" t="s">
        <v>55</v>
      </c>
      <c r="F44" t="s">
        <v>52</v>
      </c>
      <c r="G44">
        <v>2</v>
      </c>
      <c r="H44">
        <v>1</v>
      </c>
      <c r="I44">
        <v>4000</v>
      </c>
      <c r="J44" t="s">
        <v>53</v>
      </c>
      <c r="K44">
        <v>4000</v>
      </c>
      <c r="L44" t="s">
        <v>53</v>
      </c>
      <c r="M44" t="s">
        <v>21</v>
      </c>
      <c r="N44">
        <v>0</v>
      </c>
      <c r="O44">
        <v>10</v>
      </c>
      <c r="P44">
        <v>30</v>
      </c>
      <c r="Q44">
        <v>3</v>
      </c>
      <c r="R44">
        <v>1</v>
      </c>
      <c r="S44">
        <v>2013</v>
      </c>
    </row>
    <row r="45" spans="1:19" x14ac:dyDescent="0.2">
      <c r="A45">
        <v>1.8859458022665052E-3</v>
      </c>
      <c r="B45">
        <v>2.8871269071734152E-3</v>
      </c>
      <c r="C45">
        <v>1.8414361425607585E-3</v>
      </c>
      <c r="D45">
        <v>1.6835987589126932E-3</v>
      </c>
      <c r="E45" t="s">
        <v>56</v>
      </c>
      <c r="F45" t="s">
        <v>52</v>
      </c>
      <c r="G45">
        <v>3</v>
      </c>
      <c r="H45">
        <v>1</v>
      </c>
      <c r="I45">
        <v>4000</v>
      </c>
      <c r="J45" t="s">
        <v>53</v>
      </c>
      <c r="K45">
        <v>4000</v>
      </c>
      <c r="L45" t="s">
        <v>53</v>
      </c>
      <c r="M45" t="s">
        <v>21</v>
      </c>
      <c r="N45">
        <v>0</v>
      </c>
      <c r="O45">
        <v>10</v>
      </c>
      <c r="P45">
        <v>30</v>
      </c>
      <c r="Q45">
        <v>3</v>
      </c>
      <c r="R45">
        <v>1</v>
      </c>
      <c r="S45">
        <v>2013</v>
      </c>
    </row>
    <row r="46" spans="1:19" x14ac:dyDescent="0.2">
      <c r="A46">
        <v>0</v>
      </c>
      <c r="B46">
        <v>0</v>
      </c>
      <c r="C46">
        <v>0</v>
      </c>
      <c r="D46">
        <v>0</v>
      </c>
      <c r="E46" t="s">
        <v>57</v>
      </c>
      <c r="F46" t="s">
        <v>58</v>
      </c>
      <c r="G46">
        <v>0</v>
      </c>
      <c r="H46">
        <v>1</v>
      </c>
      <c r="I46">
        <v>23740</v>
      </c>
      <c r="J46" t="s">
        <v>59</v>
      </c>
      <c r="K46">
        <v>23740</v>
      </c>
      <c r="L46" t="s">
        <v>59</v>
      </c>
      <c r="M46" t="s">
        <v>60</v>
      </c>
      <c r="N46">
        <v>0.625</v>
      </c>
      <c r="O46">
        <f>(0.625*30)+((1-0.625)*10)</f>
        <v>22.5</v>
      </c>
      <c r="P46">
        <f>(0.625*50)+((1-0.625)*30)</f>
        <v>42.5</v>
      </c>
      <c r="Q46">
        <v>6</v>
      </c>
      <c r="R46">
        <v>1</v>
      </c>
      <c r="S46">
        <v>2010</v>
      </c>
    </row>
    <row r="47" spans="1:19" x14ac:dyDescent="0.2">
      <c r="A47">
        <v>2.1900256363755946E-4</v>
      </c>
      <c r="B47">
        <v>1.4708753415932198E-2</v>
      </c>
      <c r="C47">
        <v>3.2324177012866329E-3</v>
      </c>
      <c r="D47">
        <v>6.3646053963318204E-3</v>
      </c>
      <c r="E47" t="s">
        <v>61</v>
      </c>
      <c r="F47" t="s">
        <v>58</v>
      </c>
      <c r="G47">
        <v>1</v>
      </c>
      <c r="H47">
        <v>1</v>
      </c>
      <c r="I47">
        <v>23740</v>
      </c>
      <c r="J47" t="s">
        <v>59</v>
      </c>
      <c r="K47">
        <v>23740</v>
      </c>
      <c r="L47" t="s">
        <v>59</v>
      </c>
      <c r="M47" t="s">
        <v>60</v>
      </c>
      <c r="N47">
        <v>0.625</v>
      </c>
      <c r="O47">
        <f t="shared" ref="O47:O52" si="4">(0.625*30)+((1-0.625)*10)</f>
        <v>22.5</v>
      </c>
      <c r="P47">
        <f t="shared" ref="P47:P52" si="5">(0.625*50)+((1-0.625)*30)</f>
        <v>42.5</v>
      </c>
      <c r="Q47">
        <v>6</v>
      </c>
      <c r="R47">
        <v>1</v>
      </c>
      <c r="S47">
        <v>2010</v>
      </c>
    </row>
    <row r="48" spans="1:19" x14ac:dyDescent="0.2">
      <c r="A48">
        <v>-9.4466780882562842E-3</v>
      </c>
      <c r="B48">
        <v>1.5786225983027743E-2</v>
      </c>
      <c r="C48">
        <v>1.6663238537640397E-3</v>
      </c>
      <c r="D48">
        <v>1.1050358188119421E-2</v>
      </c>
      <c r="E48" t="s">
        <v>62</v>
      </c>
      <c r="F48" t="s">
        <v>58</v>
      </c>
      <c r="G48">
        <v>2</v>
      </c>
      <c r="H48">
        <v>1</v>
      </c>
      <c r="I48">
        <v>23740</v>
      </c>
      <c r="J48" t="s">
        <v>59</v>
      </c>
      <c r="K48">
        <v>23740</v>
      </c>
      <c r="L48" t="s">
        <v>59</v>
      </c>
      <c r="M48" t="s">
        <v>60</v>
      </c>
      <c r="N48">
        <v>0.625</v>
      </c>
      <c r="O48">
        <f t="shared" si="4"/>
        <v>22.5</v>
      </c>
      <c r="P48">
        <f t="shared" si="5"/>
        <v>42.5</v>
      </c>
      <c r="Q48">
        <v>6</v>
      </c>
      <c r="R48">
        <v>1</v>
      </c>
      <c r="S48">
        <v>2010</v>
      </c>
    </row>
    <row r="49" spans="1:19" x14ac:dyDescent="0.2">
      <c r="A49">
        <v>-3.3827627106488021E-3</v>
      </c>
      <c r="B49">
        <v>2.0321633765453175E-2</v>
      </c>
      <c r="C49">
        <v>-7.7678254837120634E-3</v>
      </c>
      <c r="D49">
        <v>1.7640481098494493E-2</v>
      </c>
      <c r="E49" t="s">
        <v>63</v>
      </c>
      <c r="F49" t="s">
        <v>58</v>
      </c>
      <c r="G49">
        <v>3</v>
      </c>
      <c r="H49">
        <v>1</v>
      </c>
      <c r="I49">
        <v>23740</v>
      </c>
      <c r="J49" t="s">
        <v>59</v>
      </c>
      <c r="K49">
        <v>23740</v>
      </c>
      <c r="L49" t="s">
        <v>59</v>
      </c>
      <c r="M49" t="s">
        <v>60</v>
      </c>
      <c r="N49">
        <v>0.625</v>
      </c>
      <c r="O49">
        <f t="shared" si="4"/>
        <v>22.5</v>
      </c>
      <c r="P49">
        <f t="shared" si="5"/>
        <v>42.5</v>
      </c>
      <c r="Q49">
        <v>6</v>
      </c>
      <c r="R49">
        <v>1</v>
      </c>
      <c r="S49">
        <v>2010</v>
      </c>
    </row>
    <row r="50" spans="1:19" x14ac:dyDescent="0.2">
      <c r="A50">
        <v>4.7108102933479615E-3</v>
      </c>
      <c r="B50">
        <v>2.5383249080646195E-2</v>
      </c>
      <c r="C50">
        <v>-4.6606952902272384E-3</v>
      </c>
      <c r="D50">
        <v>2.1449221335669441E-2</v>
      </c>
      <c r="E50" t="s">
        <v>64</v>
      </c>
      <c r="F50" t="s">
        <v>58</v>
      </c>
      <c r="G50">
        <v>4</v>
      </c>
      <c r="H50">
        <v>1</v>
      </c>
      <c r="I50">
        <v>23740</v>
      </c>
      <c r="J50" t="s">
        <v>59</v>
      </c>
      <c r="K50">
        <v>23740</v>
      </c>
      <c r="L50" t="s">
        <v>59</v>
      </c>
      <c r="M50" t="s">
        <v>60</v>
      </c>
      <c r="N50">
        <v>0.625</v>
      </c>
      <c r="O50">
        <f t="shared" si="4"/>
        <v>22.5</v>
      </c>
      <c r="P50">
        <f t="shared" si="5"/>
        <v>42.5</v>
      </c>
      <c r="Q50">
        <v>6</v>
      </c>
      <c r="R50">
        <v>1</v>
      </c>
      <c r="S50">
        <v>2010</v>
      </c>
    </row>
    <row r="51" spans="1:19" x14ac:dyDescent="0.2">
      <c r="A51">
        <v>9.6721956022995381E-3</v>
      </c>
      <c r="B51">
        <v>2.8665781785053548E-2</v>
      </c>
      <c r="C51">
        <v>-3.0820726919244638E-3</v>
      </c>
      <c r="D51">
        <v>2.5308076575965111E-2</v>
      </c>
      <c r="E51" t="s">
        <v>65</v>
      </c>
      <c r="F51" t="s">
        <v>58</v>
      </c>
      <c r="G51">
        <v>5</v>
      </c>
      <c r="H51">
        <v>1</v>
      </c>
      <c r="I51">
        <v>23740</v>
      </c>
      <c r="J51" t="s">
        <v>59</v>
      </c>
      <c r="K51">
        <v>23740</v>
      </c>
      <c r="L51" t="s">
        <v>59</v>
      </c>
      <c r="M51" t="s">
        <v>60</v>
      </c>
      <c r="N51">
        <v>0.625</v>
      </c>
      <c r="O51">
        <f t="shared" si="4"/>
        <v>22.5</v>
      </c>
      <c r="P51">
        <f t="shared" si="5"/>
        <v>42.5</v>
      </c>
      <c r="Q51">
        <v>6</v>
      </c>
      <c r="R51">
        <v>1</v>
      </c>
      <c r="S51">
        <v>2010</v>
      </c>
    </row>
    <row r="52" spans="1:19" x14ac:dyDescent="0.2">
      <c r="A52">
        <v>3.1722796975417654E-2</v>
      </c>
      <c r="B52">
        <v>3.3752454601806932E-2</v>
      </c>
      <c r="C52">
        <v>-3.6132917250041273E-2</v>
      </c>
      <c r="D52">
        <v>2.6861641672707527E-2</v>
      </c>
      <c r="E52" t="s">
        <v>66</v>
      </c>
      <c r="F52" t="s">
        <v>58</v>
      </c>
      <c r="G52">
        <v>6</v>
      </c>
      <c r="H52">
        <v>1</v>
      </c>
      <c r="I52">
        <v>23740</v>
      </c>
      <c r="J52" t="s">
        <v>59</v>
      </c>
      <c r="K52">
        <v>23740</v>
      </c>
      <c r="L52" t="s">
        <v>59</v>
      </c>
      <c r="M52" t="s">
        <v>60</v>
      </c>
      <c r="N52">
        <v>0.625</v>
      </c>
      <c r="O52">
        <f t="shared" si="4"/>
        <v>22.5</v>
      </c>
      <c r="P52">
        <f t="shared" si="5"/>
        <v>42.5</v>
      </c>
      <c r="Q52">
        <v>6</v>
      </c>
      <c r="R52">
        <v>1</v>
      </c>
      <c r="S52">
        <v>2010</v>
      </c>
    </row>
    <row r="53" spans="1:19" x14ac:dyDescent="0.2">
      <c r="A53">
        <v>-3.108411855707973E-2</v>
      </c>
      <c r="B53">
        <v>2.358105545709497E-2</v>
      </c>
      <c r="C53">
        <v>3.4939166068988954E-2</v>
      </c>
      <c r="D53">
        <v>2.600123986529411E-2</v>
      </c>
      <c r="E53" t="s">
        <v>67</v>
      </c>
      <c r="F53" t="s">
        <v>68</v>
      </c>
      <c r="G53">
        <v>0</v>
      </c>
      <c r="H53">
        <v>0</v>
      </c>
      <c r="I53">
        <v>8123</v>
      </c>
      <c r="J53" t="s">
        <v>69</v>
      </c>
      <c r="K53">
        <f>SUM(900,3500,2100,250,0)</f>
        <v>6750</v>
      </c>
      <c r="L53" t="s">
        <v>70</v>
      </c>
      <c r="M53" t="s">
        <v>60</v>
      </c>
      <c r="N53">
        <v>0.34</v>
      </c>
      <c r="O53">
        <f>((1-0.34)*10)+(0.34*30)</f>
        <v>16.8</v>
      </c>
      <c r="P53">
        <f>((1-0.34)*30)+(0.34*50)</f>
        <v>36.799999999999997</v>
      </c>
      <c r="Q53">
        <v>13</v>
      </c>
      <c r="R53">
        <v>0</v>
      </c>
      <c r="S53">
        <v>2000</v>
      </c>
    </row>
    <row r="54" spans="1:19" x14ac:dyDescent="0.2">
      <c r="A54">
        <v>-1.3076767117116301E-2</v>
      </c>
      <c r="B54">
        <v>2.5939161002804464E-2</v>
      </c>
      <c r="C54">
        <v>1.828212178028492E-3</v>
      </c>
      <c r="D54">
        <v>2.6204374551741717E-2</v>
      </c>
      <c r="E54" t="s">
        <v>67</v>
      </c>
      <c r="F54" t="s">
        <v>68</v>
      </c>
      <c r="G54">
        <v>1</v>
      </c>
      <c r="H54">
        <v>0</v>
      </c>
      <c r="I54">
        <v>8123</v>
      </c>
      <c r="J54" t="s">
        <v>69</v>
      </c>
      <c r="K54">
        <f t="shared" ref="K54:K66" si="6">SUM(900,3500,2100,250,0)</f>
        <v>6750</v>
      </c>
      <c r="L54" t="s">
        <v>70</v>
      </c>
      <c r="M54" t="s">
        <v>60</v>
      </c>
      <c r="N54">
        <v>0.34</v>
      </c>
      <c r="O54">
        <f t="shared" ref="O54:O66" si="7">((1-0.34)*10)+(0.34*30)</f>
        <v>16.8</v>
      </c>
      <c r="P54">
        <f t="shared" ref="P54:P66" si="8">((1-0.34)*30)+(0.34*50)</f>
        <v>36.799999999999997</v>
      </c>
      <c r="Q54">
        <v>13</v>
      </c>
      <c r="R54">
        <v>0</v>
      </c>
      <c r="S54">
        <v>2000</v>
      </c>
    </row>
    <row r="55" spans="1:19" x14ac:dyDescent="0.2">
      <c r="A55">
        <v>1.200490095997562E-2</v>
      </c>
      <c r="B55">
        <v>3.0012252399939047E-2</v>
      </c>
      <c r="C55">
        <v>-1.2391215873304223E-2</v>
      </c>
      <c r="D55">
        <v>3.0470202967141532E-2</v>
      </c>
      <c r="E55" t="s">
        <v>67</v>
      </c>
      <c r="F55" t="s">
        <v>68</v>
      </c>
      <c r="G55">
        <v>2</v>
      </c>
      <c r="H55">
        <v>0</v>
      </c>
      <c r="I55">
        <v>8123</v>
      </c>
      <c r="J55" t="s">
        <v>69</v>
      </c>
      <c r="K55">
        <f t="shared" si="6"/>
        <v>6750</v>
      </c>
      <c r="L55" t="s">
        <v>70</v>
      </c>
      <c r="M55" t="s">
        <v>60</v>
      </c>
      <c r="N55">
        <v>0.34</v>
      </c>
      <c r="O55">
        <f t="shared" si="7"/>
        <v>16.8</v>
      </c>
      <c r="P55">
        <f t="shared" si="8"/>
        <v>36.799999999999997</v>
      </c>
      <c r="Q55">
        <v>13</v>
      </c>
      <c r="R55">
        <v>0</v>
      </c>
      <c r="S55">
        <v>2000</v>
      </c>
    </row>
    <row r="56" spans="1:19" x14ac:dyDescent="0.2">
      <c r="A56">
        <v>1.5649245894253934E-2</v>
      </c>
      <c r="B56">
        <v>2.7439773622801419E-2</v>
      </c>
      <c r="C56">
        <v>7.9222527714567989E-3</v>
      </c>
      <c r="D56">
        <v>2.904826016200826E-2</v>
      </c>
      <c r="E56" t="s">
        <v>67</v>
      </c>
      <c r="F56" t="s">
        <v>68</v>
      </c>
      <c r="G56">
        <v>3</v>
      </c>
      <c r="H56">
        <v>0</v>
      </c>
      <c r="I56">
        <v>8123</v>
      </c>
      <c r="J56" t="s">
        <v>69</v>
      </c>
      <c r="K56">
        <f t="shared" si="6"/>
        <v>6750</v>
      </c>
      <c r="L56" t="s">
        <v>70</v>
      </c>
      <c r="M56" t="s">
        <v>60</v>
      </c>
      <c r="N56">
        <v>0.34</v>
      </c>
      <c r="O56">
        <f t="shared" si="7"/>
        <v>16.8</v>
      </c>
      <c r="P56">
        <f t="shared" si="8"/>
        <v>36.799999999999997</v>
      </c>
      <c r="Q56">
        <v>13</v>
      </c>
      <c r="R56">
        <v>0</v>
      </c>
      <c r="S56">
        <v>2000</v>
      </c>
    </row>
    <row r="57" spans="1:19" x14ac:dyDescent="0.2">
      <c r="A57">
        <v>2.5939161002804464E-2</v>
      </c>
      <c r="B57">
        <v>2.6367907465660735E-2</v>
      </c>
      <c r="C57">
        <v>1.5235101483570766E-2</v>
      </c>
      <c r="D57">
        <v>2.904826016200826E-2</v>
      </c>
      <c r="E57" t="s">
        <v>67</v>
      </c>
      <c r="F57" t="s">
        <v>68</v>
      </c>
      <c r="G57">
        <v>4</v>
      </c>
      <c r="H57">
        <v>0</v>
      </c>
      <c r="I57">
        <v>8123</v>
      </c>
      <c r="J57" t="s">
        <v>69</v>
      </c>
      <c r="K57">
        <f t="shared" si="6"/>
        <v>6750</v>
      </c>
      <c r="L57" t="s">
        <v>70</v>
      </c>
      <c r="M57" t="s">
        <v>60</v>
      </c>
      <c r="N57">
        <v>0.34</v>
      </c>
      <c r="O57">
        <f t="shared" si="7"/>
        <v>16.8</v>
      </c>
      <c r="P57">
        <f t="shared" si="8"/>
        <v>36.799999999999997</v>
      </c>
      <c r="Q57">
        <v>13</v>
      </c>
      <c r="R57">
        <v>0</v>
      </c>
      <c r="S57">
        <v>2000</v>
      </c>
    </row>
    <row r="58" spans="1:19" x14ac:dyDescent="0.2">
      <c r="A58">
        <v>5.2092695237037065E-2</v>
      </c>
      <c r="B58">
        <v>2.6582280697088873E-2</v>
      </c>
      <c r="C58">
        <v>2.5594970492398887E-2</v>
      </c>
      <c r="D58">
        <v>3.1892145772274803E-2</v>
      </c>
      <c r="E58" t="s">
        <v>67</v>
      </c>
      <c r="F58" t="s">
        <v>68</v>
      </c>
      <c r="G58">
        <v>5</v>
      </c>
      <c r="H58">
        <v>0</v>
      </c>
      <c r="I58">
        <v>8123</v>
      </c>
      <c r="J58" t="s">
        <v>69</v>
      </c>
      <c r="K58">
        <f t="shared" si="6"/>
        <v>6750</v>
      </c>
      <c r="L58" t="s">
        <v>70</v>
      </c>
      <c r="M58" t="s">
        <v>60</v>
      </c>
      <c r="N58">
        <v>0.34</v>
      </c>
      <c r="O58">
        <f t="shared" si="7"/>
        <v>16.8</v>
      </c>
      <c r="P58">
        <f t="shared" si="8"/>
        <v>36.799999999999997</v>
      </c>
      <c r="Q58">
        <v>13</v>
      </c>
      <c r="R58">
        <v>0</v>
      </c>
      <c r="S58">
        <v>2000</v>
      </c>
    </row>
    <row r="59" spans="1:19" x14ac:dyDescent="0.2">
      <c r="A59">
        <v>4.5661498294192977E-2</v>
      </c>
      <c r="B59">
        <v>3.0012252399939047E-2</v>
      </c>
      <c r="C59">
        <v>2.9251394848455872E-2</v>
      </c>
      <c r="D59">
        <v>3.3110953890960464E-2</v>
      </c>
      <c r="E59" t="s">
        <v>67</v>
      </c>
      <c r="F59" t="s">
        <v>68</v>
      </c>
      <c r="G59">
        <v>6</v>
      </c>
      <c r="H59">
        <v>0</v>
      </c>
      <c r="I59">
        <v>8123</v>
      </c>
      <c r="J59" t="s">
        <v>69</v>
      </c>
      <c r="K59">
        <f t="shared" si="6"/>
        <v>6750</v>
      </c>
      <c r="L59" t="s">
        <v>70</v>
      </c>
      <c r="M59" t="s">
        <v>60</v>
      </c>
      <c r="N59">
        <v>0.34</v>
      </c>
      <c r="O59">
        <f t="shared" si="7"/>
        <v>16.8</v>
      </c>
      <c r="P59">
        <f t="shared" si="8"/>
        <v>36.799999999999997</v>
      </c>
      <c r="Q59">
        <v>13</v>
      </c>
      <c r="R59">
        <v>0</v>
      </c>
      <c r="S59">
        <v>2000</v>
      </c>
    </row>
    <row r="60" spans="1:19" x14ac:dyDescent="0.2">
      <c r="A60">
        <v>3.1512865019935998E-2</v>
      </c>
      <c r="B60">
        <v>2.894038624279837E-2</v>
      </c>
      <c r="C60">
        <v>7.8409988968777544E-2</v>
      </c>
      <c r="D60">
        <v>3.5345435441884177E-2</v>
      </c>
      <c r="E60" t="s">
        <v>67</v>
      </c>
      <c r="F60" t="s">
        <v>68</v>
      </c>
      <c r="G60">
        <v>7</v>
      </c>
      <c r="H60">
        <v>0</v>
      </c>
      <c r="I60">
        <v>8123</v>
      </c>
      <c r="J60" t="s">
        <v>69</v>
      </c>
      <c r="K60">
        <f t="shared" si="6"/>
        <v>6750</v>
      </c>
      <c r="L60" t="s">
        <v>70</v>
      </c>
      <c r="M60" t="s">
        <v>60</v>
      </c>
      <c r="N60">
        <v>0.34</v>
      </c>
      <c r="O60">
        <f t="shared" si="7"/>
        <v>16.8</v>
      </c>
      <c r="P60">
        <f t="shared" si="8"/>
        <v>36.799999999999997</v>
      </c>
      <c r="Q60">
        <v>13</v>
      </c>
      <c r="R60">
        <v>0</v>
      </c>
      <c r="S60">
        <v>2000</v>
      </c>
    </row>
    <row r="61" spans="1:19" x14ac:dyDescent="0.2">
      <c r="A61">
        <v>4.6947737682761795E-2</v>
      </c>
      <c r="B61">
        <v>2.7225400391373281E-2</v>
      </c>
      <c r="C61">
        <v>7.1706544316006399E-2</v>
      </c>
      <c r="D61">
        <v>3.4939166068988954E-2</v>
      </c>
      <c r="E61" t="s">
        <v>67</v>
      </c>
      <c r="F61" t="s">
        <v>68</v>
      </c>
      <c r="G61">
        <v>8</v>
      </c>
      <c r="H61">
        <v>0</v>
      </c>
      <c r="I61">
        <v>8123</v>
      </c>
      <c r="J61" t="s">
        <v>69</v>
      </c>
      <c r="K61">
        <f t="shared" si="6"/>
        <v>6750</v>
      </c>
      <c r="L61" t="s">
        <v>70</v>
      </c>
      <c r="M61" t="s">
        <v>60</v>
      </c>
      <c r="N61">
        <v>0.34</v>
      </c>
      <c r="O61">
        <f t="shared" si="7"/>
        <v>16.8</v>
      </c>
      <c r="P61">
        <f t="shared" si="8"/>
        <v>36.799999999999997</v>
      </c>
      <c r="Q61">
        <v>13</v>
      </c>
      <c r="R61">
        <v>0</v>
      </c>
      <c r="S61">
        <v>2000</v>
      </c>
    </row>
    <row r="62" spans="1:19" x14ac:dyDescent="0.2">
      <c r="A62">
        <v>4.0087794277061446E-2</v>
      </c>
      <c r="B62">
        <v>3.2799104408504816E-2</v>
      </c>
      <c r="C62">
        <v>7.9628797087463205E-2</v>
      </c>
      <c r="D62">
        <v>3.9611263857283995E-2</v>
      </c>
      <c r="E62" t="s">
        <v>67</v>
      </c>
      <c r="F62" t="s">
        <v>68</v>
      </c>
      <c r="G62">
        <v>9</v>
      </c>
      <c r="H62">
        <v>0</v>
      </c>
      <c r="I62">
        <v>8123</v>
      </c>
      <c r="J62" t="s">
        <v>69</v>
      </c>
      <c r="K62">
        <f t="shared" si="6"/>
        <v>6750</v>
      </c>
      <c r="L62" t="s">
        <v>70</v>
      </c>
      <c r="M62" t="s">
        <v>60</v>
      </c>
      <c r="N62">
        <v>0.34</v>
      </c>
      <c r="O62">
        <f t="shared" si="7"/>
        <v>16.8</v>
      </c>
      <c r="P62">
        <f t="shared" si="8"/>
        <v>36.799999999999997</v>
      </c>
      <c r="Q62">
        <v>13</v>
      </c>
      <c r="R62">
        <v>0</v>
      </c>
      <c r="S62">
        <v>2000</v>
      </c>
    </row>
    <row r="63" spans="1:19" x14ac:dyDescent="0.2">
      <c r="A63">
        <v>5.573704017131538E-2</v>
      </c>
      <c r="B63">
        <v>3.4942836722786176E-2</v>
      </c>
      <c r="C63">
        <v>8.0441335833253649E-2</v>
      </c>
      <c r="D63">
        <v>4.4080226959131413E-2</v>
      </c>
      <c r="E63" t="s">
        <v>67</v>
      </c>
      <c r="F63" t="s">
        <v>68</v>
      </c>
      <c r="G63">
        <v>10</v>
      </c>
      <c r="H63">
        <v>0</v>
      </c>
      <c r="I63">
        <v>8123</v>
      </c>
      <c r="J63" t="s">
        <v>69</v>
      </c>
      <c r="K63">
        <f t="shared" si="6"/>
        <v>6750</v>
      </c>
      <c r="L63" t="s">
        <v>70</v>
      </c>
      <c r="M63" t="s">
        <v>60</v>
      </c>
      <c r="N63">
        <v>0.34</v>
      </c>
      <c r="O63">
        <f t="shared" si="7"/>
        <v>16.8</v>
      </c>
      <c r="P63">
        <f t="shared" si="8"/>
        <v>36.799999999999997</v>
      </c>
      <c r="Q63">
        <v>13</v>
      </c>
      <c r="R63">
        <v>0</v>
      </c>
      <c r="S63">
        <v>2000</v>
      </c>
    </row>
    <row r="64" spans="1:19" x14ac:dyDescent="0.2">
      <c r="A64">
        <v>6.6026955279865907E-2</v>
      </c>
      <c r="B64">
        <v>4.0516540739917714E-2</v>
      </c>
      <c r="C64">
        <v>9.5676437316824417E-2</v>
      </c>
      <c r="D64">
        <v>4.3673957586236198E-2</v>
      </c>
      <c r="E64" t="s">
        <v>67</v>
      </c>
      <c r="F64" t="s">
        <v>68</v>
      </c>
      <c r="G64">
        <v>11</v>
      </c>
      <c r="H64">
        <v>0</v>
      </c>
      <c r="I64">
        <v>8123</v>
      </c>
      <c r="J64" t="s">
        <v>69</v>
      </c>
      <c r="K64">
        <f t="shared" si="6"/>
        <v>6750</v>
      </c>
      <c r="L64" t="s">
        <v>70</v>
      </c>
      <c r="M64" t="s">
        <v>60</v>
      </c>
      <c r="N64">
        <v>0.34</v>
      </c>
      <c r="O64">
        <f t="shared" si="7"/>
        <v>16.8</v>
      </c>
      <c r="P64">
        <f t="shared" si="8"/>
        <v>36.799999999999997</v>
      </c>
      <c r="Q64">
        <v>13</v>
      </c>
      <c r="R64">
        <v>0</v>
      </c>
      <c r="S64">
        <v>2000</v>
      </c>
    </row>
    <row r="65" spans="1:19" x14ac:dyDescent="0.2">
      <c r="A65">
        <v>0.10525725663121481</v>
      </c>
      <c r="B65">
        <v>4.9948962922755705E-2</v>
      </c>
      <c r="C65">
        <v>0.11416169378355695</v>
      </c>
      <c r="D65">
        <v>4.6720977882950349E-2</v>
      </c>
      <c r="E65" t="s">
        <v>67</v>
      </c>
      <c r="F65" t="s">
        <v>68</v>
      </c>
      <c r="G65">
        <v>12</v>
      </c>
      <c r="H65">
        <v>0</v>
      </c>
      <c r="I65" s="3">
        <v>8123</v>
      </c>
      <c r="J65" t="s">
        <v>69</v>
      </c>
      <c r="K65">
        <f t="shared" si="6"/>
        <v>6750</v>
      </c>
      <c r="L65" t="s">
        <v>70</v>
      </c>
      <c r="M65" t="s">
        <v>60</v>
      </c>
      <c r="N65">
        <v>0.34</v>
      </c>
      <c r="O65">
        <f t="shared" si="7"/>
        <v>16.8</v>
      </c>
      <c r="P65">
        <f t="shared" si="8"/>
        <v>36.799999999999997</v>
      </c>
      <c r="Q65">
        <v>13</v>
      </c>
      <c r="R65">
        <v>0</v>
      </c>
      <c r="S65">
        <v>2000</v>
      </c>
    </row>
    <row r="66" spans="1:19" x14ac:dyDescent="0.2">
      <c r="A66">
        <v>0.10654349601978362</v>
      </c>
      <c r="B66">
        <v>7.5030630999847622E-2</v>
      </c>
      <c r="C66">
        <v>8.1457009265491695E-2</v>
      </c>
      <c r="D66">
        <v>6.5815638409025712E-2</v>
      </c>
      <c r="E66" t="s">
        <v>67</v>
      </c>
      <c r="F66" t="s">
        <v>68</v>
      </c>
      <c r="G66">
        <v>13</v>
      </c>
      <c r="H66">
        <v>0</v>
      </c>
      <c r="I66" s="3">
        <v>8123</v>
      </c>
      <c r="J66" t="s">
        <v>69</v>
      </c>
      <c r="K66">
        <f t="shared" si="6"/>
        <v>6750</v>
      </c>
      <c r="L66" t="s">
        <v>70</v>
      </c>
      <c r="M66" t="s">
        <v>60</v>
      </c>
      <c r="N66">
        <v>0.34</v>
      </c>
      <c r="O66">
        <f t="shared" si="7"/>
        <v>16.8</v>
      </c>
      <c r="P66">
        <f t="shared" si="8"/>
        <v>36.799999999999997</v>
      </c>
      <c r="Q66">
        <v>13</v>
      </c>
      <c r="R66">
        <v>0</v>
      </c>
      <c r="S66">
        <v>2000</v>
      </c>
    </row>
    <row r="67" spans="1:19" x14ac:dyDescent="0.2">
      <c r="A67">
        <v>-1.6E-2</v>
      </c>
      <c r="B67">
        <v>2.1000000000000001E-2</v>
      </c>
      <c r="C67">
        <v>-4.0000000000000001E-3</v>
      </c>
      <c r="D67">
        <v>1.2E-2</v>
      </c>
      <c r="E67" t="s">
        <v>93</v>
      </c>
      <c r="F67" t="s">
        <v>94</v>
      </c>
      <c r="G67">
        <v>0</v>
      </c>
      <c r="H67">
        <v>1</v>
      </c>
      <c r="I67" s="3">
        <v>87701</v>
      </c>
      <c r="J67" t="s">
        <v>71</v>
      </c>
      <c r="K67">
        <v>15000</v>
      </c>
      <c r="L67" t="s">
        <v>71</v>
      </c>
      <c r="M67" t="s">
        <v>72</v>
      </c>
      <c r="N67">
        <v>1</v>
      </c>
      <c r="O67">
        <v>30</v>
      </c>
      <c r="P67">
        <v>50</v>
      </c>
      <c r="Q67">
        <v>6</v>
      </c>
      <c r="R67">
        <v>1</v>
      </c>
      <c r="S67">
        <v>2013</v>
      </c>
    </row>
    <row r="68" spans="1:19" x14ac:dyDescent="0.2">
      <c r="A68">
        <v>1.4999999999999999E-2</v>
      </c>
      <c r="B68">
        <v>3.5000000000000003E-2</v>
      </c>
      <c r="C68">
        <v>2.3E-2</v>
      </c>
      <c r="D68">
        <v>2.1999999999999999E-2</v>
      </c>
      <c r="E68" t="s">
        <v>93</v>
      </c>
      <c r="F68" t="s">
        <v>94</v>
      </c>
      <c r="G68">
        <v>1</v>
      </c>
      <c r="H68">
        <v>1</v>
      </c>
      <c r="I68" s="3">
        <v>87701</v>
      </c>
      <c r="J68" t="s">
        <v>71</v>
      </c>
      <c r="K68">
        <v>15000</v>
      </c>
      <c r="L68" t="s">
        <v>71</v>
      </c>
      <c r="M68" t="s">
        <v>72</v>
      </c>
      <c r="N68">
        <v>1</v>
      </c>
      <c r="O68">
        <v>30</v>
      </c>
      <c r="P68">
        <v>50</v>
      </c>
      <c r="Q68">
        <v>6</v>
      </c>
      <c r="R68">
        <v>1</v>
      </c>
      <c r="S68">
        <v>2013</v>
      </c>
    </row>
    <row r="69" spans="1:19" x14ac:dyDescent="0.2">
      <c r="A69">
        <v>4.5999999999999999E-2</v>
      </c>
      <c r="B69">
        <v>4.9000000000000002E-2</v>
      </c>
      <c r="C69">
        <v>0.05</v>
      </c>
      <c r="D69">
        <v>3.2000000000000001E-2</v>
      </c>
      <c r="E69" t="s">
        <v>93</v>
      </c>
      <c r="F69" t="s">
        <v>94</v>
      </c>
      <c r="G69">
        <v>2</v>
      </c>
      <c r="H69">
        <v>1</v>
      </c>
      <c r="I69" s="3">
        <v>87701</v>
      </c>
      <c r="J69" t="s">
        <v>71</v>
      </c>
      <c r="K69">
        <v>15000</v>
      </c>
      <c r="L69" t="s">
        <v>71</v>
      </c>
      <c r="M69" t="s">
        <v>72</v>
      </c>
      <c r="N69">
        <v>1</v>
      </c>
      <c r="O69">
        <v>30</v>
      </c>
      <c r="P69">
        <v>50</v>
      </c>
      <c r="Q69">
        <v>6</v>
      </c>
      <c r="R69">
        <v>1</v>
      </c>
      <c r="S69">
        <v>2013</v>
      </c>
    </row>
    <row r="70" spans="1:19" x14ac:dyDescent="0.2">
      <c r="A70">
        <v>7.6999999999999999E-2</v>
      </c>
      <c r="B70">
        <v>6.3E-2</v>
      </c>
      <c r="C70">
        <v>7.6999999999999999E-2</v>
      </c>
      <c r="D70">
        <v>4.1999999999999996E-2</v>
      </c>
      <c r="E70" t="s">
        <v>93</v>
      </c>
      <c r="F70" t="s">
        <v>94</v>
      </c>
      <c r="G70">
        <v>3</v>
      </c>
      <c r="H70">
        <v>1</v>
      </c>
      <c r="I70" s="3">
        <v>87701</v>
      </c>
      <c r="J70" t="s">
        <v>71</v>
      </c>
      <c r="K70">
        <v>15000</v>
      </c>
      <c r="L70" t="s">
        <v>71</v>
      </c>
      <c r="M70" t="s">
        <v>72</v>
      </c>
      <c r="N70">
        <v>1</v>
      </c>
      <c r="O70">
        <v>30</v>
      </c>
      <c r="P70">
        <v>50</v>
      </c>
      <c r="Q70">
        <v>6</v>
      </c>
      <c r="R70">
        <v>1</v>
      </c>
      <c r="S70">
        <v>2013</v>
      </c>
    </row>
    <row r="71" spans="1:19" x14ac:dyDescent="0.2">
      <c r="A71">
        <v>0.108</v>
      </c>
      <c r="B71">
        <v>7.6999999999999999E-2</v>
      </c>
      <c r="C71">
        <v>0.104</v>
      </c>
      <c r="D71">
        <v>5.2000000000000005E-2</v>
      </c>
      <c r="E71" t="s">
        <v>93</v>
      </c>
      <c r="F71" t="s">
        <v>94</v>
      </c>
      <c r="G71">
        <v>4</v>
      </c>
      <c r="H71">
        <v>1</v>
      </c>
      <c r="I71" s="3">
        <v>87701</v>
      </c>
      <c r="J71" t="s">
        <v>71</v>
      </c>
      <c r="K71">
        <v>15000</v>
      </c>
      <c r="L71" t="s">
        <v>71</v>
      </c>
      <c r="M71" t="s">
        <v>72</v>
      </c>
      <c r="N71">
        <v>1</v>
      </c>
      <c r="O71">
        <v>30</v>
      </c>
      <c r="P71">
        <v>50</v>
      </c>
      <c r="Q71">
        <v>6</v>
      </c>
      <c r="R71">
        <v>1</v>
      </c>
      <c r="S71">
        <v>2013</v>
      </c>
    </row>
    <row r="72" spans="1:19" x14ac:dyDescent="0.2">
      <c r="A72">
        <v>0.13900000000000001</v>
      </c>
      <c r="B72">
        <v>9.1000000000000011E-2</v>
      </c>
      <c r="C72">
        <v>0.13100000000000001</v>
      </c>
      <c r="D72">
        <v>6.2E-2</v>
      </c>
      <c r="E72" t="s">
        <v>93</v>
      </c>
      <c r="F72" t="s">
        <v>94</v>
      </c>
      <c r="G72">
        <v>5</v>
      </c>
      <c r="H72">
        <v>1</v>
      </c>
      <c r="I72" s="3">
        <v>87701</v>
      </c>
      <c r="J72" t="s">
        <v>71</v>
      </c>
      <c r="K72">
        <v>15000</v>
      </c>
      <c r="L72" t="s">
        <v>71</v>
      </c>
      <c r="M72" t="s">
        <v>72</v>
      </c>
      <c r="N72">
        <v>1</v>
      </c>
      <c r="O72">
        <v>30</v>
      </c>
      <c r="P72">
        <v>50</v>
      </c>
      <c r="Q72">
        <v>6</v>
      </c>
      <c r="R72">
        <v>1</v>
      </c>
      <c r="S72">
        <v>2013</v>
      </c>
    </row>
    <row r="73" spans="1:19" x14ac:dyDescent="0.2">
      <c r="A73">
        <v>0.16999999999999998</v>
      </c>
      <c r="B73">
        <v>0.10500000000000001</v>
      </c>
      <c r="C73">
        <v>0.158</v>
      </c>
      <c r="D73">
        <v>7.1999999999999995E-2</v>
      </c>
      <c r="E73" t="s">
        <v>93</v>
      </c>
      <c r="F73" t="s">
        <v>94</v>
      </c>
      <c r="G73">
        <v>6</v>
      </c>
      <c r="H73">
        <v>1</v>
      </c>
      <c r="I73" s="3">
        <v>87701</v>
      </c>
      <c r="J73" t="s">
        <v>71</v>
      </c>
      <c r="K73">
        <v>15000</v>
      </c>
      <c r="L73" t="s">
        <v>71</v>
      </c>
      <c r="M73" t="s">
        <v>72</v>
      </c>
      <c r="N73">
        <v>1</v>
      </c>
      <c r="O73">
        <v>30</v>
      </c>
      <c r="P73">
        <v>50</v>
      </c>
      <c r="Q73">
        <v>6</v>
      </c>
      <c r="R73">
        <v>1</v>
      </c>
      <c r="S73">
        <v>2013</v>
      </c>
    </row>
    <row r="74" spans="1:19" x14ac:dyDescent="0.2">
      <c r="A74">
        <v>0</v>
      </c>
      <c r="B74">
        <v>0</v>
      </c>
      <c r="C74">
        <v>0</v>
      </c>
      <c r="D74">
        <v>0</v>
      </c>
      <c r="E74" t="s">
        <v>73</v>
      </c>
      <c r="F74" t="s">
        <v>74</v>
      </c>
      <c r="G74">
        <v>0</v>
      </c>
      <c r="H74">
        <v>1</v>
      </c>
      <c r="I74" s="3">
        <v>11086</v>
      </c>
      <c r="J74" t="s">
        <v>75</v>
      </c>
      <c r="K74">
        <f>SUM(2745,2368,734,469,309)</f>
        <v>6625</v>
      </c>
      <c r="L74" t="s">
        <v>53</v>
      </c>
      <c r="M74" t="s">
        <v>21</v>
      </c>
      <c r="N74">
        <v>0</v>
      </c>
      <c r="O74">
        <v>10</v>
      </c>
      <c r="P74">
        <v>30</v>
      </c>
      <c r="Q74">
        <v>6</v>
      </c>
      <c r="R74">
        <v>1</v>
      </c>
      <c r="S74">
        <v>2010</v>
      </c>
    </row>
    <row r="75" spans="1:19" x14ac:dyDescent="0.2">
      <c r="A75">
        <v>0</v>
      </c>
      <c r="B75">
        <v>1.7999999999999999E-2</v>
      </c>
      <c r="C75">
        <v>7.0000000000000001E-3</v>
      </c>
      <c r="D75">
        <v>1.2999999999999999E-2</v>
      </c>
      <c r="E75" t="s">
        <v>73</v>
      </c>
      <c r="F75" t="s">
        <v>74</v>
      </c>
      <c r="G75">
        <v>1</v>
      </c>
      <c r="H75">
        <v>1</v>
      </c>
      <c r="I75">
        <v>11086</v>
      </c>
      <c r="J75" t="s">
        <v>75</v>
      </c>
      <c r="K75">
        <f t="shared" ref="K75:K80" si="9">SUM(2745,2368,734,469,309)</f>
        <v>6625</v>
      </c>
      <c r="L75" t="s">
        <v>53</v>
      </c>
      <c r="M75" t="s">
        <v>21</v>
      </c>
      <c r="N75">
        <v>0</v>
      </c>
      <c r="O75">
        <v>10</v>
      </c>
      <c r="P75">
        <v>30</v>
      </c>
      <c r="Q75">
        <v>6</v>
      </c>
      <c r="R75">
        <v>1</v>
      </c>
      <c r="S75">
        <v>2010</v>
      </c>
    </row>
    <row r="76" spans="1:19" x14ac:dyDescent="0.2">
      <c r="A76">
        <v>1E-3</v>
      </c>
      <c r="B76">
        <v>2.1000000000000001E-2</v>
      </c>
      <c r="C76">
        <v>0</v>
      </c>
      <c r="D76">
        <v>1.6E-2</v>
      </c>
      <c r="E76" t="s">
        <v>73</v>
      </c>
      <c r="F76" t="s">
        <v>74</v>
      </c>
      <c r="G76">
        <v>2</v>
      </c>
      <c r="H76">
        <v>1</v>
      </c>
      <c r="I76">
        <v>11086</v>
      </c>
      <c r="J76" t="s">
        <v>75</v>
      </c>
      <c r="K76">
        <f t="shared" si="9"/>
        <v>6625</v>
      </c>
      <c r="L76" t="s">
        <v>53</v>
      </c>
      <c r="M76" t="s">
        <v>21</v>
      </c>
      <c r="N76">
        <v>0</v>
      </c>
      <c r="O76">
        <v>10</v>
      </c>
      <c r="P76">
        <v>30</v>
      </c>
      <c r="Q76">
        <v>6</v>
      </c>
      <c r="R76">
        <v>1</v>
      </c>
      <c r="S76">
        <v>2010</v>
      </c>
    </row>
    <row r="77" spans="1:19" x14ac:dyDescent="0.2">
      <c r="A77">
        <v>7.0000000000000001E-3</v>
      </c>
      <c r="B77">
        <v>2.1999999999999999E-2</v>
      </c>
      <c r="C77">
        <v>7.0000000000000001E-3</v>
      </c>
      <c r="D77">
        <v>1.6E-2</v>
      </c>
      <c r="E77" t="s">
        <v>73</v>
      </c>
      <c r="F77" t="s">
        <v>74</v>
      </c>
      <c r="G77">
        <v>3</v>
      </c>
      <c r="H77">
        <v>1</v>
      </c>
      <c r="I77">
        <v>11086</v>
      </c>
      <c r="J77" t="s">
        <v>75</v>
      </c>
      <c r="K77">
        <f t="shared" si="9"/>
        <v>6625</v>
      </c>
      <c r="L77" t="s">
        <v>53</v>
      </c>
      <c r="M77" t="s">
        <v>21</v>
      </c>
      <c r="N77">
        <v>0</v>
      </c>
      <c r="O77">
        <v>10</v>
      </c>
      <c r="P77">
        <v>30</v>
      </c>
      <c r="Q77">
        <v>6</v>
      </c>
      <c r="R77">
        <v>1</v>
      </c>
      <c r="S77">
        <v>2010</v>
      </c>
    </row>
    <row r="78" spans="1:19" x14ac:dyDescent="0.2">
      <c r="A78">
        <v>-1.4999999999999999E-2</v>
      </c>
      <c r="B78">
        <v>2.4E-2</v>
      </c>
      <c r="C78">
        <v>-0.01</v>
      </c>
      <c r="D78">
        <v>1.7000000000000001E-2</v>
      </c>
      <c r="E78" t="s">
        <v>73</v>
      </c>
      <c r="F78" t="s">
        <v>74</v>
      </c>
      <c r="G78">
        <v>4</v>
      </c>
      <c r="H78">
        <v>1</v>
      </c>
      <c r="I78">
        <v>11086</v>
      </c>
      <c r="J78" t="s">
        <v>75</v>
      </c>
      <c r="K78">
        <f t="shared" si="9"/>
        <v>6625</v>
      </c>
      <c r="L78" t="s">
        <v>53</v>
      </c>
      <c r="M78" t="s">
        <v>21</v>
      </c>
      <c r="N78">
        <v>0</v>
      </c>
      <c r="O78">
        <v>10</v>
      </c>
      <c r="P78">
        <v>30</v>
      </c>
      <c r="Q78">
        <v>6</v>
      </c>
      <c r="R78">
        <v>1</v>
      </c>
      <c r="S78">
        <v>2010</v>
      </c>
    </row>
    <row r="79" spans="1:19" x14ac:dyDescent="0.2">
      <c r="A79">
        <v>-4.0000000000000001E-3</v>
      </c>
      <c r="B79">
        <v>2.5999999999999999E-2</v>
      </c>
      <c r="C79">
        <v>-4.0000000000000001E-3</v>
      </c>
      <c r="D79">
        <v>1.9E-2</v>
      </c>
      <c r="E79" t="s">
        <v>73</v>
      </c>
      <c r="F79" t="s">
        <v>74</v>
      </c>
      <c r="G79">
        <v>5</v>
      </c>
      <c r="H79">
        <v>1</v>
      </c>
      <c r="I79">
        <v>11086</v>
      </c>
      <c r="J79" t="s">
        <v>75</v>
      </c>
      <c r="K79">
        <f t="shared" si="9"/>
        <v>6625</v>
      </c>
      <c r="L79" t="s">
        <v>53</v>
      </c>
      <c r="M79" t="s">
        <v>21</v>
      </c>
      <c r="N79">
        <v>0</v>
      </c>
      <c r="O79">
        <v>10</v>
      </c>
      <c r="P79">
        <v>30</v>
      </c>
      <c r="Q79">
        <v>6</v>
      </c>
      <c r="R79">
        <v>1</v>
      </c>
      <c r="S79">
        <v>2010</v>
      </c>
    </row>
    <row r="80" spans="1:19" x14ac:dyDescent="0.2">
      <c r="A80">
        <v>0.03</v>
      </c>
      <c r="B80">
        <v>2.7E-2</v>
      </c>
      <c r="C80">
        <v>1.6E-2</v>
      </c>
      <c r="D80">
        <v>0.02</v>
      </c>
      <c r="E80" t="s">
        <v>73</v>
      </c>
      <c r="F80" t="s">
        <v>74</v>
      </c>
      <c r="G80">
        <v>6</v>
      </c>
      <c r="H80">
        <v>1</v>
      </c>
      <c r="I80">
        <v>11086</v>
      </c>
      <c r="J80" t="s">
        <v>75</v>
      </c>
      <c r="K80">
        <f t="shared" si="9"/>
        <v>6625</v>
      </c>
      <c r="L80" t="s">
        <v>53</v>
      </c>
      <c r="M80" t="s">
        <v>21</v>
      </c>
      <c r="N80">
        <v>0</v>
      </c>
      <c r="O80">
        <v>10</v>
      </c>
      <c r="P80">
        <v>30</v>
      </c>
      <c r="Q80">
        <v>6</v>
      </c>
      <c r="R80">
        <v>1</v>
      </c>
      <c r="S80">
        <v>2010</v>
      </c>
    </row>
    <row r="81" spans="1:19" x14ac:dyDescent="0.2">
      <c r="A81">
        <v>0</v>
      </c>
      <c r="B81">
        <v>0</v>
      </c>
      <c r="C81">
        <v>0</v>
      </c>
      <c r="D81">
        <v>0</v>
      </c>
      <c r="E81" t="s">
        <v>76</v>
      </c>
      <c r="F81" t="s">
        <v>77</v>
      </c>
      <c r="G81">
        <v>0</v>
      </c>
      <c r="H81">
        <v>1</v>
      </c>
      <c r="I81">
        <v>70000</v>
      </c>
      <c r="J81" t="s">
        <v>78</v>
      </c>
      <c r="K81">
        <v>70000</v>
      </c>
      <c r="L81" t="s">
        <v>78</v>
      </c>
      <c r="M81" t="s">
        <v>72</v>
      </c>
      <c r="N81">
        <v>1</v>
      </c>
      <c r="O81">
        <v>30</v>
      </c>
      <c r="P81">
        <v>50</v>
      </c>
      <c r="Q81">
        <v>7</v>
      </c>
      <c r="R81">
        <v>1</v>
      </c>
      <c r="S81">
        <v>2005</v>
      </c>
    </row>
    <row r="82" spans="1:19" x14ac:dyDescent="0.2">
      <c r="A82">
        <v>2.4E-2</v>
      </c>
      <c r="B82">
        <v>1.6E-2</v>
      </c>
      <c r="C82">
        <v>3.5000000000000003E-2</v>
      </c>
      <c r="D82">
        <v>1.2999999999999999E-2</v>
      </c>
      <c r="E82" t="s">
        <v>76</v>
      </c>
      <c r="F82" t="s">
        <v>77</v>
      </c>
      <c r="G82">
        <v>1</v>
      </c>
      <c r="H82">
        <v>1</v>
      </c>
      <c r="I82">
        <v>70000</v>
      </c>
      <c r="J82" t="s">
        <v>78</v>
      </c>
      <c r="K82">
        <v>70001</v>
      </c>
      <c r="L82" t="s">
        <v>78</v>
      </c>
      <c r="M82" t="s">
        <v>72</v>
      </c>
      <c r="N82">
        <v>1</v>
      </c>
      <c r="O82">
        <v>30</v>
      </c>
      <c r="P82">
        <v>50</v>
      </c>
      <c r="Q82">
        <v>7</v>
      </c>
      <c r="R82">
        <v>1</v>
      </c>
      <c r="S82">
        <v>2005</v>
      </c>
    </row>
    <row r="83" spans="1:19" x14ac:dyDescent="0.2">
      <c r="A83">
        <v>-2.7E-2</v>
      </c>
      <c r="B83">
        <v>2.1999999999999999E-2</v>
      </c>
      <c r="C83">
        <v>4.5999999999999999E-2</v>
      </c>
      <c r="D83">
        <v>0.02</v>
      </c>
      <c r="E83" t="s">
        <v>76</v>
      </c>
      <c r="F83" t="s">
        <v>77</v>
      </c>
      <c r="G83">
        <v>2</v>
      </c>
      <c r="H83">
        <v>1</v>
      </c>
      <c r="I83">
        <v>70000</v>
      </c>
      <c r="J83" t="s">
        <v>78</v>
      </c>
      <c r="K83">
        <v>70002</v>
      </c>
      <c r="L83" t="s">
        <v>78</v>
      </c>
      <c r="M83" t="s">
        <v>72</v>
      </c>
      <c r="N83">
        <v>1</v>
      </c>
      <c r="O83">
        <v>30</v>
      </c>
      <c r="P83">
        <v>50</v>
      </c>
      <c r="Q83">
        <v>7</v>
      </c>
      <c r="R83">
        <v>1</v>
      </c>
      <c r="S83">
        <v>2005</v>
      </c>
    </row>
    <row r="84" spans="1:19" x14ac:dyDescent="0.2">
      <c r="A84">
        <v>-3.9E-2</v>
      </c>
      <c r="B84">
        <v>3.3000000000000002E-2</v>
      </c>
      <c r="C84">
        <v>5.7000000000000002E-2</v>
      </c>
      <c r="D84">
        <v>2.7E-2</v>
      </c>
      <c r="E84" t="s">
        <v>76</v>
      </c>
      <c r="F84" t="s">
        <v>77</v>
      </c>
      <c r="G84">
        <v>3</v>
      </c>
      <c r="H84">
        <v>1</v>
      </c>
      <c r="I84">
        <v>70000</v>
      </c>
      <c r="J84" t="s">
        <v>78</v>
      </c>
      <c r="K84">
        <v>70003</v>
      </c>
      <c r="L84" t="s">
        <v>78</v>
      </c>
      <c r="M84" t="s">
        <v>72</v>
      </c>
      <c r="N84">
        <v>1</v>
      </c>
      <c r="O84">
        <v>30</v>
      </c>
      <c r="P84">
        <v>50</v>
      </c>
      <c r="Q84">
        <v>7</v>
      </c>
      <c r="R84">
        <v>1</v>
      </c>
      <c r="S84">
        <v>2005</v>
      </c>
    </row>
    <row r="85" spans="1:19" x14ac:dyDescent="0.2">
      <c r="A85">
        <v>-1.4E-2</v>
      </c>
      <c r="B85">
        <v>4.2999999999999997E-2</v>
      </c>
      <c r="C85">
        <v>7.6999999999999999E-2</v>
      </c>
      <c r="D85">
        <v>3.9E-2</v>
      </c>
      <c r="E85" t="s">
        <v>76</v>
      </c>
      <c r="F85" t="s">
        <v>77</v>
      </c>
      <c r="G85">
        <v>4</v>
      </c>
      <c r="H85">
        <v>1</v>
      </c>
      <c r="I85">
        <v>70000</v>
      </c>
      <c r="J85" t="s">
        <v>78</v>
      </c>
      <c r="K85">
        <v>70004</v>
      </c>
      <c r="L85" t="s">
        <v>78</v>
      </c>
      <c r="M85" t="s">
        <v>72</v>
      </c>
      <c r="N85">
        <v>1</v>
      </c>
      <c r="O85">
        <v>30</v>
      </c>
      <c r="P85">
        <v>50</v>
      </c>
      <c r="Q85">
        <v>7</v>
      </c>
      <c r="R85">
        <v>1</v>
      </c>
      <c r="S85">
        <v>2005</v>
      </c>
    </row>
    <row r="86" spans="1:19" x14ac:dyDescent="0.2">
      <c r="A86">
        <v>0.01</v>
      </c>
      <c r="B86">
        <v>5.7000000000000002E-2</v>
      </c>
      <c r="C86">
        <v>0.108</v>
      </c>
      <c r="D86">
        <v>4.9000000000000002E-2</v>
      </c>
      <c r="E86" t="s">
        <v>76</v>
      </c>
      <c r="F86" t="s">
        <v>77</v>
      </c>
      <c r="G86">
        <v>5</v>
      </c>
      <c r="H86">
        <v>1</v>
      </c>
      <c r="I86">
        <v>70000</v>
      </c>
      <c r="J86" t="s">
        <v>78</v>
      </c>
      <c r="K86">
        <v>70005</v>
      </c>
      <c r="L86" t="s">
        <v>78</v>
      </c>
      <c r="M86" t="s">
        <v>72</v>
      </c>
      <c r="N86">
        <v>1</v>
      </c>
      <c r="O86">
        <v>30</v>
      </c>
      <c r="P86">
        <v>50</v>
      </c>
      <c r="Q86">
        <v>7</v>
      </c>
      <c r="R86">
        <v>1</v>
      </c>
      <c r="S86">
        <v>2005</v>
      </c>
    </row>
    <row r="87" spans="1:19" x14ac:dyDescent="0.2">
      <c r="A87">
        <v>2.1000000000000001E-2</v>
      </c>
      <c r="B87">
        <v>6.7000000000000004E-2</v>
      </c>
      <c r="C87">
        <v>0.124</v>
      </c>
      <c r="D87">
        <v>5.8999999999999997E-2</v>
      </c>
      <c r="E87" t="s">
        <v>76</v>
      </c>
      <c r="F87" t="s">
        <v>77</v>
      </c>
      <c r="G87">
        <v>6</v>
      </c>
      <c r="H87">
        <v>1</v>
      </c>
      <c r="I87">
        <v>70000</v>
      </c>
      <c r="J87" t="s">
        <v>78</v>
      </c>
      <c r="K87">
        <v>70006</v>
      </c>
      <c r="L87" t="s">
        <v>78</v>
      </c>
      <c r="M87" t="s">
        <v>72</v>
      </c>
      <c r="N87">
        <v>1</v>
      </c>
      <c r="O87">
        <v>30</v>
      </c>
      <c r="P87">
        <v>50</v>
      </c>
      <c r="Q87">
        <v>7</v>
      </c>
      <c r="R87">
        <v>1</v>
      </c>
      <c r="S87">
        <v>2005</v>
      </c>
    </row>
    <row r="88" spans="1:19" x14ac:dyDescent="0.2">
      <c r="A88">
        <v>3.1E-2</v>
      </c>
      <c r="B88">
        <v>7.3999999999999996E-2</v>
      </c>
      <c r="C88">
        <v>0.153</v>
      </c>
      <c r="D88">
        <v>6.0999999999999999E-2</v>
      </c>
      <c r="E88" t="s">
        <v>76</v>
      </c>
      <c r="F88" t="s">
        <v>77</v>
      </c>
      <c r="G88">
        <v>7</v>
      </c>
      <c r="H88">
        <v>1</v>
      </c>
      <c r="I88">
        <v>70000</v>
      </c>
      <c r="J88" t="s">
        <v>78</v>
      </c>
      <c r="K88">
        <v>70007</v>
      </c>
      <c r="L88" t="s">
        <v>78</v>
      </c>
      <c r="M88" t="s">
        <v>72</v>
      </c>
      <c r="N88">
        <v>1</v>
      </c>
      <c r="O88">
        <v>30</v>
      </c>
      <c r="P88">
        <v>50</v>
      </c>
      <c r="Q88">
        <v>7</v>
      </c>
      <c r="R88">
        <v>1</v>
      </c>
      <c r="S88">
        <v>2005</v>
      </c>
    </row>
    <row r="89" spans="1:19" x14ac:dyDescent="0.2">
      <c r="A89">
        <v>0</v>
      </c>
      <c r="B89">
        <v>0</v>
      </c>
      <c r="C89">
        <v>0</v>
      </c>
      <c r="D89">
        <v>0</v>
      </c>
      <c r="E89" t="s">
        <v>79</v>
      </c>
      <c r="F89" t="s">
        <v>80</v>
      </c>
      <c r="G89">
        <v>0</v>
      </c>
      <c r="H89">
        <v>0</v>
      </c>
      <c r="I89">
        <f t="shared" ref="I89:I95" si="10">SUM(1650,2840,2400,2300,560)</f>
        <v>9750</v>
      </c>
      <c r="J89" t="s">
        <v>81</v>
      </c>
      <c r="K89">
        <v>9600</v>
      </c>
      <c r="L89" t="s">
        <v>82</v>
      </c>
      <c r="M89" t="s">
        <v>21</v>
      </c>
      <c r="N89">
        <v>0</v>
      </c>
      <c r="O89">
        <v>10</v>
      </c>
      <c r="P89">
        <v>30</v>
      </c>
      <c r="Q89">
        <v>6</v>
      </c>
      <c r="R89">
        <v>0</v>
      </c>
      <c r="S89">
        <v>2014</v>
      </c>
    </row>
    <row r="90" spans="1:19" x14ac:dyDescent="0.2">
      <c r="A90">
        <v>3.207488431138186E-3</v>
      </c>
      <c r="B90">
        <v>5.5144240484290051E-3</v>
      </c>
      <c r="C90">
        <v>-5.7015519058518352E-4</v>
      </c>
      <c r="D90">
        <v>3.8624359321180893E-3</v>
      </c>
      <c r="E90" t="s">
        <v>79</v>
      </c>
      <c r="F90" t="s">
        <v>80</v>
      </c>
      <c r="G90">
        <v>1</v>
      </c>
      <c r="H90">
        <v>0</v>
      </c>
      <c r="I90">
        <f t="shared" si="10"/>
        <v>9750</v>
      </c>
      <c r="J90" t="s">
        <v>81</v>
      </c>
      <c r="K90">
        <v>9600</v>
      </c>
      <c r="L90" t="s">
        <v>82</v>
      </c>
      <c r="M90" t="s">
        <v>21</v>
      </c>
      <c r="N90">
        <v>0</v>
      </c>
      <c r="O90">
        <v>10</v>
      </c>
      <c r="P90">
        <v>30</v>
      </c>
      <c r="Q90">
        <v>6</v>
      </c>
      <c r="R90">
        <v>0</v>
      </c>
      <c r="S90">
        <v>2014</v>
      </c>
    </row>
    <row r="91" spans="1:19" x14ac:dyDescent="0.2">
      <c r="A91">
        <v>2.9472637544095638E-3</v>
      </c>
      <c r="B91">
        <v>6.2103057682201517E-3</v>
      </c>
      <c r="C91">
        <v>4.4442866137921989E-3</v>
      </c>
      <c r="D91">
        <v>4.4384388682477361E-3</v>
      </c>
      <c r="E91" t="s">
        <v>79</v>
      </c>
      <c r="F91" t="s">
        <v>80</v>
      </c>
      <c r="G91">
        <v>2</v>
      </c>
      <c r="H91">
        <v>0</v>
      </c>
      <c r="I91">
        <f t="shared" si="10"/>
        <v>9750</v>
      </c>
      <c r="J91" t="s">
        <v>81</v>
      </c>
      <c r="K91">
        <v>9600</v>
      </c>
      <c r="L91" t="s">
        <v>82</v>
      </c>
      <c r="M91" t="s">
        <v>21</v>
      </c>
      <c r="N91">
        <v>0</v>
      </c>
      <c r="O91">
        <v>10</v>
      </c>
      <c r="P91">
        <v>30</v>
      </c>
      <c r="Q91">
        <v>6</v>
      </c>
      <c r="R91">
        <v>0</v>
      </c>
      <c r="S91">
        <v>2014</v>
      </c>
    </row>
    <row r="92" spans="1:19" x14ac:dyDescent="0.2">
      <c r="A92">
        <v>5.8769842721857375E-3</v>
      </c>
      <c r="B92">
        <v>6.0407211474307132E-3</v>
      </c>
      <c r="C92">
        <v>4.8390094380434808E-3</v>
      </c>
      <c r="D92">
        <v>4.6021757434927119E-3</v>
      </c>
      <c r="E92" t="s">
        <v>79</v>
      </c>
      <c r="F92" t="s">
        <v>80</v>
      </c>
      <c r="G92">
        <v>3</v>
      </c>
      <c r="H92">
        <v>0</v>
      </c>
      <c r="I92">
        <f t="shared" si="10"/>
        <v>9750</v>
      </c>
      <c r="J92" t="s">
        <v>81</v>
      </c>
      <c r="K92">
        <v>9600</v>
      </c>
      <c r="L92" t="s">
        <v>82</v>
      </c>
      <c r="M92" t="s">
        <v>21</v>
      </c>
      <c r="N92">
        <v>0</v>
      </c>
      <c r="O92">
        <v>10</v>
      </c>
      <c r="P92">
        <v>30</v>
      </c>
      <c r="Q92">
        <v>6</v>
      </c>
      <c r="R92">
        <v>0</v>
      </c>
      <c r="S92">
        <v>2014</v>
      </c>
    </row>
    <row r="93" spans="1:19" x14ac:dyDescent="0.2">
      <c r="A93">
        <v>7.552363370674507E-3</v>
      </c>
      <c r="B93">
        <v>6.6956686484106161E-3</v>
      </c>
      <c r="C93">
        <v>8.0611172330428242E-3</v>
      </c>
      <c r="D93">
        <v>7.6254601899802994E-3</v>
      </c>
      <c r="E93" t="s">
        <v>79</v>
      </c>
      <c r="F93" t="s">
        <v>80</v>
      </c>
      <c r="G93">
        <v>4</v>
      </c>
      <c r="H93">
        <v>0</v>
      </c>
      <c r="I93">
        <f t="shared" si="10"/>
        <v>9750</v>
      </c>
      <c r="J93" t="s">
        <v>81</v>
      </c>
      <c r="K93">
        <v>9600</v>
      </c>
      <c r="L93" t="s">
        <v>82</v>
      </c>
      <c r="M93" t="s">
        <v>21</v>
      </c>
      <c r="N93">
        <v>0</v>
      </c>
      <c r="O93">
        <v>10</v>
      </c>
      <c r="P93">
        <v>30</v>
      </c>
      <c r="Q93">
        <v>6</v>
      </c>
      <c r="R93">
        <v>0</v>
      </c>
      <c r="S93">
        <v>2014</v>
      </c>
    </row>
    <row r="94" spans="1:19" x14ac:dyDescent="0.2">
      <c r="A94">
        <v>8.9382790647123383E-3</v>
      </c>
      <c r="B94">
        <v>6.4208246078208357E-3</v>
      </c>
      <c r="C94">
        <v>2.149046487590307E-3</v>
      </c>
      <c r="D94">
        <v>4.1752903187468821E-3</v>
      </c>
      <c r="E94" t="s">
        <v>79</v>
      </c>
      <c r="F94" t="s">
        <v>80</v>
      </c>
      <c r="G94">
        <v>5</v>
      </c>
      <c r="H94">
        <v>0</v>
      </c>
      <c r="I94">
        <f t="shared" si="10"/>
        <v>9750</v>
      </c>
      <c r="J94" t="s">
        <v>81</v>
      </c>
      <c r="K94">
        <v>9600</v>
      </c>
      <c r="L94" t="s">
        <v>82</v>
      </c>
      <c r="M94" t="s">
        <v>21</v>
      </c>
      <c r="N94">
        <v>0</v>
      </c>
      <c r="O94">
        <v>10</v>
      </c>
      <c r="P94">
        <v>30</v>
      </c>
      <c r="Q94">
        <v>6</v>
      </c>
      <c r="R94">
        <v>0</v>
      </c>
      <c r="S94">
        <v>2014</v>
      </c>
    </row>
    <row r="95" spans="1:19" x14ac:dyDescent="0.2">
      <c r="A95">
        <v>1.3967340232950881E-2</v>
      </c>
      <c r="B95">
        <v>6.9412739612780792E-3</v>
      </c>
      <c r="C95">
        <v>3.6139067464783935E-3</v>
      </c>
      <c r="D95">
        <v>3.8127300949901497E-3</v>
      </c>
      <c r="E95" t="s">
        <v>79</v>
      </c>
      <c r="F95" t="s">
        <v>80</v>
      </c>
      <c r="G95">
        <v>6</v>
      </c>
      <c r="H95">
        <v>0</v>
      </c>
      <c r="I95">
        <f t="shared" si="10"/>
        <v>9750</v>
      </c>
      <c r="J95" t="s">
        <v>81</v>
      </c>
      <c r="K95">
        <v>9600</v>
      </c>
      <c r="L95" t="s">
        <v>82</v>
      </c>
      <c r="M95" t="s">
        <v>21</v>
      </c>
      <c r="N95">
        <v>0</v>
      </c>
      <c r="O95">
        <v>10</v>
      </c>
      <c r="P95">
        <v>30</v>
      </c>
      <c r="Q95">
        <v>6</v>
      </c>
      <c r="R95">
        <v>0</v>
      </c>
      <c r="S95">
        <v>2014</v>
      </c>
    </row>
    <row r="96" spans="1:19" x14ac:dyDescent="0.2">
      <c r="A96">
        <v>0</v>
      </c>
      <c r="B96">
        <v>0</v>
      </c>
      <c r="C96">
        <v>0</v>
      </c>
      <c r="D96">
        <v>0</v>
      </c>
      <c r="E96" t="s">
        <v>79</v>
      </c>
      <c r="F96" t="s">
        <v>83</v>
      </c>
      <c r="G96">
        <v>0</v>
      </c>
      <c r="H96">
        <v>1</v>
      </c>
      <c r="I96">
        <v>23740</v>
      </c>
      <c r="K96">
        <v>23740</v>
      </c>
      <c r="L96" t="s">
        <v>59</v>
      </c>
      <c r="M96" t="s">
        <v>60</v>
      </c>
      <c r="N96">
        <v>0.625</v>
      </c>
      <c r="O96">
        <f t="shared" ref="O96:O102" si="11">(0.625*30)+((1-0.625)*10)</f>
        <v>22.5</v>
      </c>
      <c r="P96">
        <f t="shared" ref="P96:P102" si="12">(0.625*50)+((1-0.625)*30)</f>
        <v>42.5</v>
      </c>
      <c r="Q96">
        <v>6</v>
      </c>
      <c r="R96">
        <v>1</v>
      </c>
      <c r="S96">
        <v>2010</v>
      </c>
    </row>
    <row r="97" spans="1:19" x14ac:dyDescent="0.2">
      <c r="A97">
        <v>1.7226938333413856E-2</v>
      </c>
      <c r="B97">
        <v>1.4726657007809523E-2</v>
      </c>
      <c r="C97">
        <v>3.0003375907252001E-3</v>
      </c>
      <c r="D97">
        <v>1.2101361615924974E-2</v>
      </c>
      <c r="E97" t="s">
        <v>79</v>
      </c>
      <c r="F97" t="s">
        <v>83</v>
      </c>
      <c r="G97">
        <v>1</v>
      </c>
      <c r="H97">
        <v>1</v>
      </c>
      <c r="I97">
        <v>23740</v>
      </c>
      <c r="K97">
        <v>23740</v>
      </c>
      <c r="L97" t="s">
        <v>59</v>
      </c>
      <c r="M97" t="s">
        <v>60</v>
      </c>
      <c r="N97">
        <v>0.625</v>
      </c>
      <c r="O97">
        <f t="shared" si="11"/>
        <v>22.5</v>
      </c>
      <c r="P97">
        <f t="shared" si="12"/>
        <v>42.5</v>
      </c>
      <c r="Q97">
        <v>6</v>
      </c>
      <c r="R97">
        <v>1</v>
      </c>
      <c r="S97">
        <v>2010</v>
      </c>
    </row>
    <row r="98" spans="1:19" x14ac:dyDescent="0.2">
      <c r="A98">
        <v>-2.1327399707404965E-3</v>
      </c>
      <c r="B98">
        <v>2.6778012997222409E-2</v>
      </c>
      <c r="C98">
        <v>-6.8257680188998308E-3</v>
      </c>
      <c r="D98">
        <v>2.0102261857858843E-2</v>
      </c>
      <c r="E98" t="s">
        <v>79</v>
      </c>
      <c r="F98" t="s">
        <v>83</v>
      </c>
      <c r="G98">
        <v>2</v>
      </c>
      <c r="H98">
        <v>1</v>
      </c>
      <c r="I98">
        <v>23740</v>
      </c>
      <c r="K98">
        <v>23740</v>
      </c>
      <c r="L98" t="s">
        <v>59</v>
      </c>
      <c r="M98" t="s">
        <v>60</v>
      </c>
      <c r="N98">
        <v>0.625</v>
      </c>
      <c r="O98">
        <f t="shared" si="11"/>
        <v>22.5</v>
      </c>
      <c r="P98">
        <f t="shared" si="12"/>
        <v>42.5</v>
      </c>
      <c r="Q98">
        <v>6</v>
      </c>
      <c r="R98">
        <v>1</v>
      </c>
      <c r="S98">
        <v>2010</v>
      </c>
    </row>
    <row r="99" spans="1:19" x14ac:dyDescent="0.2">
      <c r="A99">
        <v>1.2701429134070014E-2</v>
      </c>
      <c r="B99">
        <v>3.2228626287039853E-2</v>
      </c>
      <c r="C99">
        <v>-1.9302171833665456E-2</v>
      </c>
      <c r="D99">
        <v>2.7953145220256451E-2</v>
      </c>
      <c r="E99" t="s">
        <v>79</v>
      </c>
      <c r="F99" t="s">
        <v>83</v>
      </c>
      <c r="G99">
        <v>3</v>
      </c>
      <c r="H99">
        <v>1</v>
      </c>
      <c r="I99">
        <v>23740</v>
      </c>
      <c r="K99">
        <v>23740</v>
      </c>
      <c r="L99" t="s">
        <v>59</v>
      </c>
      <c r="M99" t="s">
        <v>60</v>
      </c>
      <c r="N99">
        <v>0.625</v>
      </c>
      <c r="O99">
        <f t="shared" si="11"/>
        <v>22.5</v>
      </c>
      <c r="P99">
        <f t="shared" si="12"/>
        <v>42.5</v>
      </c>
      <c r="Q99">
        <v>6</v>
      </c>
      <c r="R99">
        <v>1</v>
      </c>
      <c r="S99">
        <v>2010</v>
      </c>
    </row>
    <row r="100" spans="1:19" x14ac:dyDescent="0.2">
      <c r="A100">
        <v>1.6301834242940256E-2</v>
      </c>
      <c r="B100">
        <v>3.8304309908258387E-2</v>
      </c>
      <c r="C100">
        <v>-2.0677326562747837E-2</v>
      </c>
      <c r="D100">
        <v>3.2503657232856337E-2</v>
      </c>
      <c r="E100" t="s">
        <v>79</v>
      </c>
      <c r="F100" t="s">
        <v>83</v>
      </c>
      <c r="G100">
        <v>4</v>
      </c>
      <c r="H100">
        <v>1</v>
      </c>
      <c r="I100">
        <v>23740</v>
      </c>
      <c r="K100">
        <v>23740</v>
      </c>
      <c r="L100" t="s">
        <v>59</v>
      </c>
      <c r="M100" t="s">
        <v>60</v>
      </c>
      <c r="N100">
        <v>0.625</v>
      </c>
      <c r="O100">
        <f t="shared" si="11"/>
        <v>22.5</v>
      </c>
      <c r="P100">
        <f t="shared" si="12"/>
        <v>42.5</v>
      </c>
      <c r="Q100">
        <v>6</v>
      </c>
      <c r="R100">
        <v>1</v>
      </c>
      <c r="S100">
        <v>2010</v>
      </c>
    </row>
    <row r="101" spans="1:19" x14ac:dyDescent="0.2">
      <c r="A101">
        <v>2.3702666966729079E-2</v>
      </c>
      <c r="B101">
        <v>4.3479892252259358E-2</v>
      </c>
      <c r="C101">
        <v>-1.4201597929432612E-2</v>
      </c>
      <c r="D101">
        <v>3.9604456197572642E-2</v>
      </c>
      <c r="E101" t="s">
        <v>79</v>
      </c>
      <c r="F101" t="s">
        <v>83</v>
      </c>
      <c r="G101">
        <v>5</v>
      </c>
      <c r="H101">
        <v>1</v>
      </c>
      <c r="I101">
        <v>23740</v>
      </c>
      <c r="K101">
        <v>23740</v>
      </c>
      <c r="L101" t="s">
        <v>59</v>
      </c>
      <c r="M101" t="s">
        <v>60</v>
      </c>
      <c r="N101">
        <v>0.625</v>
      </c>
      <c r="O101">
        <f t="shared" si="11"/>
        <v>22.5</v>
      </c>
      <c r="P101">
        <f t="shared" si="12"/>
        <v>42.5</v>
      </c>
      <c r="Q101">
        <v>6</v>
      </c>
      <c r="R101">
        <v>1</v>
      </c>
      <c r="S101">
        <v>2010</v>
      </c>
    </row>
    <row r="102" spans="1:19" x14ac:dyDescent="0.2">
      <c r="A102">
        <v>5.5406234175392033E-2</v>
      </c>
      <c r="B102">
        <v>5.0105637765110844E-2</v>
      </c>
      <c r="C102">
        <v>-4.8280432397419679E-2</v>
      </c>
      <c r="D102">
        <v>4.1729695324336326E-2</v>
      </c>
      <c r="E102" t="s">
        <v>79</v>
      </c>
      <c r="F102" t="s">
        <v>83</v>
      </c>
      <c r="G102">
        <v>6</v>
      </c>
      <c r="H102">
        <v>1</v>
      </c>
      <c r="I102">
        <v>23740</v>
      </c>
      <c r="K102">
        <v>23740</v>
      </c>
      <c r="L102" t="s">
        <v>59</v>
      </c>
      <c r="M102" t="s">
        <v>60</v>
      </c>
      <c r="N102">
        <v>0.625</v>
      </c>
      <c r="O102">
        <f t="shared" si="11"/>
        <v>22.5</v>
      </c>
      <c r="P102">
        <f t="shared" si="12"/>
        <v>42.5</v>
      </c>
      <c r="Q102">
        <v>6</v>
      </c>
      <c r="R102">
        <v>1</v>
      </c>
      <c r="S102">
        <v>2010</v>
      </c>
    </row>
    <row r="103" spans="1:19" x14ac:dyDescent="0.2">
      <c r="A103">
        <v>0</v>
      </c>
      <c r="B103">
        <v>0</v>
      </c>
      <c r="E103" t="s">
        <v>79</v>
      </c>
      <c r="F103" t="s">
        <v>84</v>
      </c>
      <c r="G103">
        <v>0</v>
      </c>
      <c r="H103">
        <v>0</v>
      </c>
      <c r="I103">
        <f t="shared" ref="I103:I116" si="13">SUM(1650,2840,2400,2300,560)</f>
        <v>9750</v>
      </c>
      <c r="J103" t="s">
        <v>81</v>
      </c>
      <c r="K103">
        <v>9600</v>
      </c>
      <c r="L103" t="s">
        <v>82</v>
      </c>
      <c r="M103" t="s">
        <v>21</v>
      </c>
      <c r="N103">
        <v>0</v>
      </c>
      <c r="O103">
        <v>10</v>
      </c>
      <c r="P103">
        <v>30</v>
      </c>
      <c r="Q103">
        <v>6</v>
      </c>
      <c r="R103">
        <v>0</v>
      </c>
      <c r="S103">
        <v>2014</v>
      </c>
    </row>
    <row r="104" spans="1:19" x14ac:dyDescent="0.2">
      <c r="A104">
        <v>3.207488431138186E-3</v>
      </c>
      <c r="B104">
        <v>5.5144240484290051E-3</v>
      </c>
      <c r="E104" t="s">
        <v>79</v>
      </c>
      <c r="F104" t="s">
        <v>84</v>
      </c>
      <c r="G104">
        <v>1</v>
      </c>
      <c r="H104">
        <v>0</v>
      </c>
      <c r="I104">
        <f t="shared" si="13"/>
        <v>9750</v>
      </c>
      <c r="J104" t="s">
        <v>81</v>
      </c>
      <c r="K104">
        <v>9600</v>
      </c>
      <c r="L104" t="s">
        <v>82</v>
      </c>
      <c r="M104" t="s">
        <v>21</v>
      </c>
      <c r="N104">
        <v>0</v>
      </c>
      <c r="O104">
        <v>10</v>
      </c>
      <c r="P104">
        <v>30</v>
      </c>
      <c r="Q104">
        <v>6</v>
      </c>
      <c r="R104">
        <v>0</v>
      </c>
      <c r="S104">
        <v>2014</v>
      </c>
    </row>
    <row r="105" spans="1:19" x14ac:dyDescent="0.2">
      <c r="A105">
        <v>2.9472637544095638E-3</v>
      </c>
      <c r="B105">
        <v>6.2103057682201517E-3</v>
      </c>
      <c r="E105" t="s">
        <v>79</v>
      </c>
      <c r="F105" t="s">
        <v>84</v>
      </c>
      <c r="G105">
        <v>2</v>
      </c>
      <c r="H105">
        <v>0</v>
      </c>
      <c r="I105">
        <f t="shared" si="13"/>
        <v>9750</v>
      </c>
      <c r="J105" t="s">
        <v>81</v>
      </c>
      <c r="K105">
        <v>9600</v>
      </c>
      <c r="L105" t="s">
        <v>82</v>
      </c>
      <c r="M105" t="s">
        <v>21</v>
      </c>
      <c r="N105">
        <v>0</v>
      </c>
      <c r="O105">
        <v>10</v>
      </c>
      <c r="P105">
        <v>30</v>
      </c>
      <c r="Q105">
        <v>6</v>
      </c>
      <c r="R105">
        <v>0</v>
      </c>
      <c r="S105">
        <v>2014</v>
      </c>
    </row>
    <row r="106" spans="1:19" x14ac:dyDescent="0.2">
      <c r="A106">
        <v>5.8769842721857375E-3</v>
      </c>
      <c r="B106">
        <v>6.0407211474307132E-3</v>
      </c>
      <c r="E106" t="s">
        <v>79</v>
      </c>
      <c r="F106" t="s">
        <v>84</v>
      </c>
      <c r="G106">
        <v>3</v>
      </c>
      <c r="H106">
        <v>0</v>
      </c>
      <c r="I106">
        <f t="shared" si="13"/>
        <v>9750</v>
      </c>
      <c r="J106" t="s">
        <v>81</v>
      </c>
      <c r="K106">
        <v>9600</v>
      </c>
      <c r="L106" t="s">
        <v>82</v>
      </c>
      <c r="M106" t="s">
        <v>21</v>
      </c>
      <c r="N106">
        <v>0</v>
      </c>
      <c r="O106">
        <v>10</v>
      </c>
      <c r="P106">
        <v>30</v>
      </c>
      <c r="Q106">
        <v>6</v>
      </c>
      <c r="R106">
        <v>0</v>
      </c>
      <c r="S106">
        <v>2014</v>
      </c>
    </row>
    <row r="107" spans="1:19" x14ac:dyDescent="0.2">
      <c r="A107">
        <v>7.552363370674507E-3</v>
      </c>
      <c r="B107">
        <v>6.6956686484106161E-3</v>
      </c>
      <c r="E107" t="s">
        <v>79</v>
      </c>
      <c r="F107" t="s">
        <v>84</v>
      </c>
      <c r="G107">
        <v>4</v>
      </c>
      <c r="H107">
        <v>0</v>
      </c>
      <c r="I107">
        <f t="shared" si="13"/>
        <v>9750</v>
      </c>
      <c r="J107" t="s">
        <v>81</v>
      </c>
      <c r="K107">
        <v>9600</v>
      </c>
      <c r="L107" t="s">
        <v>82</v>
      </c>
      <c r="M107" t="s">
        <v>21</v>
      </c>
      <c r="N107">
        <v>0</v>
      </c>
      <c r="O107">
        <v>10</v>
      </c>
      <c r="P107">
        <v>30</v>
      </c>
      <c r="Q107">
        <v>6</v>
      </c>
      <c r="R107">
        <v>0</v>
      </c>
      <c r="S107">
        <v>2014</v>
      </c>
    </row>
    <row r="108" spans="1:19" x14ac:dyDescent="0.2">
      <c r="A108">
        <v>8.9382790647123383E-3</v>
      </c>
      <c r="B108">
        <v>6.4208246078208357E-3</v>
      </c>
      <c r="E108" t="s">
        <v>79</v>
      </c>
      <c r="F108" t="s">
        <v>84</v>
      </c>
      <c r="G108">
        <v>5</v>
      </c>
      <c r="H108">
        <v>0</v>
      </c>
      <c r="I108">
        <f t="shared" si="13"/>
        <v>9750</v>
      </c>
      <c r="J108" t="s">
        <v>81</v>
      </c>
      <c r="K108">
        <v>9600</v>
      </c>
      <c r="L108" t="s">
        <v>82</v>
      </c>
      <c r="M108" t="s">
        <v>21</v>
      </c>
      <c r="N108">
        <v>0</v>
      </c>
      <c r="O108">
        <v>10</v>
      </c>
      <c r="P108">
        <v>30</v>
      </c>
      <c r="Q108">
        <v>6</v>
      </c>
      <c r="R108">
        <v>0</v>
      </c>
      <c r="S108">
        <v>2014</v>
      </c>
    </row>
    <row r="109" spans="1:19" x14ac:dyDescent="0.2">
      <c r="A109">
        <v>1.3967340232950881E-2</v>
      </c>
      <c r="B109">
        <v>6.9412739612780792E-3</v>
      </c>
      <c r="E109" t="s">
        <v>79</v>
      </c>
      <c r="F109" t="s">
        <v>84</v>
      </c>
      <c r="G109">
        <v>6</v>
      </c>
      <c r="H109">
        <v>0</v>
      </c>
      <c r="I109">
        <f t="shared" si="13"/>
        <v>9750</v>
      </c>
      <c r="J109" t="s">
        <v>81</v>
      </c>
      <c r="K109">
        <v>9600</v>
      </c>
      <c r="L109" t="s">
        <v>82</v>
      </c>
      <c r="M109" t="s">
        <v>21</v>
      </c>
      <c r="N109">
        <v>0</v>
      </c>
      <c r="O109">
        <v>10</v>
      </c>
      <c r="P109">
        <v>30</v>
      </c>
      <c r="Q109">
        <v>6</v>
      </c>
      <c r="R109">
        <v>0</v>
      </c>
      <c r="S109">
        <v>2014</v>
      </c>
    </row>
    <row r="110" spans="1:19" x14ac:dyDescent="0.2">
      <c r="A110">
        <v>0</v>
      </c>
      <c r="B110">
        <v>0</v>
      </c>
      <c r="E110" t="s">
        <v>79</v>
      </c>
      <c r="F110" t="s">
        <v>85</v>
      </c>
      <c r="G110">
        <v>0</v>
      </c>
      <c r="H110">
        <v>0</v>
      </c>
      <c r="I110">
        <f t="shared" si="13"/>
        <v>9750</v>
      </c>
      <c r="J110" t="s">
        <v>81</v>
      </c>
      <c r="K110">
        <v>9600</v>
      </c>
      <c r="L110" t="s">
        <v>82</v>
      </c>
      <c r="M110" t="s">
        <v>21</v>
      </c>
      <c r="N110">
        <v>0</v>
      </c>
      <c r="O110">
        <v>10</v>
      </c>
      <c r="P110">
        <v>30</v>
      </c>
      <c r="Q110">
        <v>6</v>
      </c>
      <c r="R110">
        <v>0</v>
      </c>
      <c r="S110">
        <v>2014</v>
      </c>
    </row>
    <row r="111" spans="1:19" x14ac:dyDescent="0.2">
      <c r="A111">
        <v>-5.7015519058518352E-4</v>
      </c>
      <c r="B111">
        <v>3.8624359321180893E-3</v>
      </c>
      <c r="E111" t="s">
        <v>79</v>
      </c>
      <c r="F111" t="s">
        <v>85</v>
      </c>
      <c r="G111">
        <v>1</v>
      </c>
      <c r="H111">
        <v>0</v>
      </c>
      <c r="I111">
        <f t="shared" si="13"/>
        <v>9750</v>
      </c>
      <c r="J111" t="s">
        <v>81</v>
      </c>
      <c r="K111">
        <v>9600</v>
      </c>
      <c r="L111" t="s">
        <v>82</v>
      </c>
      <c r="M111" t="s">
        <v>21</v>
      </c>
      <c r="N111">
        <v>0</v>
      </c>
      <c r="O111">
        <v>10</v>
      </c>
      <c r="P111">
        <v>30</v>
      </c>
      <c r="Q111">
        <v>6</v>
      </c>
      <c r="R111">
        <v>0</v>
      </c>
      <c r="S111">
        <v>2014</v>
      </c>
    </row>
    <row r="112" spans="1:19" x14ac:dyDescent="0.2">
      <c r="A112">
        <v>4.4442866137921989E-3</v>
      </c>
      <c r="B112">
        <v>4.4384388682477361E-3</v>
      </c>
      <c r="E112" t="s">
        <v>79</v>
      </c>
      <c r="F112" t="s">
        <v>85</v>
      </c>
      <c r="G112">
        <v>2</v>
      </c>
      <c r="H112">
        <v>0</v>
      </c>
      <c r="I112">
        <f t="shared" si="13"/>
        <v>9750</v>
      </c>
      <c r="J112" t="s">
        <v>81</v>
      </c>
      <c r="K112">
        <v>9600</v>
      </c>
      <c r="L112" t="s">
        <v>82</v>
      </c>
      <c r="M112" t="s">
        <v>21</v>
      </c>
      <c r="N112">
        <v>0</v>
      </c>
      <c r="O112">
        <v>10</v>
      </c>
      <c r="P112">
        <v>30</v>
      </c>
      <c r="Q112">
        <v>6</v>
      </c>
      <c r="R112">
        <v>0</v>
      </c>
      <c r="S112">
        <v>2014</v>
      </c>
    </row>
    <row r="113" spans="1:19" x14ac:dyDescent="0.2">
      <c r="A113">
        <v>4.8390094380434808E-3</v>
      </c>
      <c r="B113">
        <v>4.6021757434927119E-3</v>
      </c>
      <c r="E113" t="s">
        <v>79</v>
      </c>
      <c r="F113" t="s">
        <v>85</v>
      </c>
      <c r="G113">
        <v>3</v>
      </c>
      <c r="H113">
        <v>0</v>
      </c>
      <c r="I113">
        <f t="shared" si="13"/>
        <v>9750</v>
      </c>
      <c r="J113" t="s">
        <v>81</v>
      </c>
      <c r="K113">
        <v>9600</v>
      </c>
      <c r="L113" t="s">
        <v>82</v>
      </c>
      <c r="M113" t="s">
        <v>21</v>
      </c>
      <c r="N113">
        <v>0</v>
      </c>
      <c r="O113">
        <v>10</v>
      </c>
      <c r="P113">
        <v>30</v>
      </c>
      <c r="Q113">
        <v>6</v>
      </c>
      <c r="R113">
        <v>0</v>
      </c>
      <c r="S113">
        <v>2014</v>
      </c>
    </row>
    <row r="114" spans="1:19" x14ac:dyDescent="0.2">
      <c r="A114">
        <v>8.0611172330428242E-3</v>
      </c>
      <c r="B114">
        <v>7.6254601899802994E-3</v>
      </c>
      <c r="E114" t="s">
        <v>79</v>
      </c>
      <c r="F114" t="s">
        <v>85</v>
      </c>
      <c r="G114">
        <v>4</v>
      </c>
      <c r="H114">
        <v>0</v>
      </c>
      <c r="I114">
        <f t="shared" si="13"/>
        <v>9750</v>
      </c>
      <c r="J114" t="s">
        <v>81</v>
      </c>
      <c r="K114">
        <v>9600</v>
      </c>
      <c r="L114" t="s">
        <v>82</v>
      </c>
      <c r="M114" t="s">
        <v>21</v>
      </c>
      <c r="N114">
        <v>0</v>
      </c>
      <c r="O114">
        <v>10</v>
      </c>
      <c r="P114">
        <v>30</v>
      </c>
      <c r="Q114">
        <v>6</v>
      </c>
      <c r="R114">
        <v>0</v>
      </c>
      <c r="S114">
        <v>2014</v>
      </c>
    </row>
    <row r="115" spans="1:19" x14ac:dyDescent="0.2">
      <c r="A115">
        <v>2.149046487590307E-3</v>
      </c>
      <c r="B115">
        <v>4.1752903187468821E-3</v>
      </c>
      <c r="E115" t="s">
        <v>79</v>
      </c>
      <c r="F115" t="s">
        <v>85</v>
      </c>
      <c r="G115">
        <v>5</v>
      </c>
      <c r="H115">
        <v>0</v>
      </c>
      <c r="I115">
        <f t="shared" si="13"/>
        <v>9750</v>
      </c>
      <c r="J115" t="s">
        <v>81</v>
      </c>
      <c r="K115">
        <v>9600</v>
      </c>
      <c r="L115" t="s">
        <v>82</v>
      </c>
      <c r="M115" t="s">
        <v>21</v>
      </c>
      <c r="N115">
        <v>0</v>
      </c>
      <c r="O115">
        <v>10</v>
      </c>
      <c r="P115">
        <v>30</v>
      </c>
      <c r="Q115">
        <v>6</v>
      </c>
      <c r="R115">
        <v>0</v>
      </c>
      <c r="S115">
        <v>2014</v>
      </c>
    </row>
    <row r="116" spans="1:19" x14ac:dyDescent="0.2">
      <c r="A116">
        <v>3.6139067464783935E-3</v>
      </c>
      <c r="B116">
        <v>3.8127300949901497E-3</v>
      </c>
      <c r="E116" t="s">
        <v>79</v>
      </c>
      <c r="F116" t="s">
        <v>85</v>
      </c>
      <c r="G116">
        <v>6</v>
      </c>
      <c r="H116">
        <v>0</v>
      </c>
      <c r="I116">
        <f t="shared" si="13"/>
        <v>9750</v>
      </c>
      <c r="J116" t="s">
        <v>81</v>
      </c>
      <c r="K116">
        <v>9600</v>
      </c>
      <c r="L116" t="s">
        <v>82</v>
      </c>
      <c r="M116" t="s">
        <v>21</v>
      </c>
      <c r="N116">
        <v>0</v>
      </c>
      <c r="O116">
        <v>10</v>
      </c>
      <c r="P116">
        <v>30</v>
      </c>
      <c r="Q116">
        <v>6</v>
      </c>
      <c r="R116">
        <v>0</v>
      </c>
      <c r="S116">
        <v>2014</v>
      </c>
    </row>
    <row r="117" spans="1:19" x14ac:dyDescent="0.2">
      <c r="A117">
        <v>-0.03</v>
      </c>
      <c r="B117">
        <v>1.4999999999999999E-2</v>
      </c>
      <c r="E117" t="s">
        <v>86</v>
      </c>
      <c r="F117" t="s">
        <v>87</v>
      </c>
      <c r="G117">
        <v>0</v>
      </c>
      <c r="H117">
        <v>0</v>
      </c>
      <c r="I117">
        <v>11086</v>
      </c>
      <c r="J117" t="s">
        <v>88</v>
      </c>
      <c r="K117">
        <f>SUM(2745,2368,734,469,309)</f>
        <v>6625</v>
      </c>
      <c r="L117" t="s">
        <v>53</v>
      </c>
      <c r="M117" t="s">
        <v>21</v>
      </c>
      <c r="N117">
        <v>0</v>
      </c>
      <c r="O117">
        <v>10</v>
      </c>
      <c r="P117">
        <v>30</v>
      </c>
      <c r="Q117">
        <v>6</v>
      </c>
      <c r="R117">
        <v>0</v>
      </c>
      <c r="S117">
        <v>2010</v>
      </c>
    </row>
    <row r="118" spans="1:19" x14ac:dyDescent="0.2">
      <c r="A118">
        <v>5.0000000000000001E-3</v>
      </c>
      <c r="B118">
        <v>1.6E-2</v>
      </c>
      <c r="E118" t="s">
        <v>86</v>
      </c>
      <c r="F118" t="s">
        <v>87</v>
      </c>
      <c r="G118">
        <v>1</v>
      </c>
      <c r="H118">
        <v>0</v>
      </c>
      <c r="I118">
        <v>11086</v>
      </c>
      <c r="J118" t="s">
        <v>88</v>
      </c>
      <c r="K118">
        <f t="shared" ref="K118:K125" si="14">SUM(2745,2368,734,469,309)</f>
        <v>6625</v>
      </c>
      <c r="L118" t="s">
        <v>53</v>
      </c>
      <c r="M118" t="s">
        <v>21</v>
      </c>
      <c r="N118">
        <v>0</v>
      </c>
      <c r="O118">
        <v>10</v>
      </c>
      <c r="P118">
        <v>30</v>
      </c>
      <c r="Q118">
        <v>6</v>
      </c>
      <c r="R118">
        <v>0</v>
      </c>
      <c r="S118">
        <v>2010</v>
      </c>
    </row>
    <row r="119" spans="1:19" x14ac:dyDescent="0.2">
      <c r="A119">
        <v>1.9E-2</v>
      </c>
      <c r="B119">
        <v>1.7000000000000001E-2</v>
      </c>
      <c r="E119" t="s">
        <v>86</v>
      </c>
      <c r="F119" t="s">
        <v>87</v>
      </c>
      <c r="G119">
        <v>2</v>
      </c>
      <c r="H119">
        <v>0</v>
      </c>
      <c r="I119">
        <v>11086</v>
      </c>
      <c r="J119" t="s">
        <v>88</v>
      </c>
      <c r="K119">
        <f t="shared" si="14"/>
        <v>6625</v>
      </c>
      <c r="L119" t="s">
        <v>53</v>
      </c>
      <c r="M119" t="s">
        <v>21</v>
      </c>
      <c r="N119">
        <v>0</v>
      </c>
      <c r="O119">
        <v>10</v>
      </c>
      <c r="P119">
        <v>30</v>
      </c>
      <c r="Q119">
        <v>6</v>
      </c>
      <c r="R119">
        <v>0</v>
      </c>
      <c r="S119">
        <v>2010</v>
      </c>
    </row>
    <row r="120" spans="1:19" x14ac:dyDescent="0.2">
      <c r="A120">
        <v>3.2000000000000001E-2</v>
      </c>
      <c r="B120">
        <v>1.7999999999999999E-2</v>
      </c>
      <c r="E120" t="s">
        <v>86</v>
      </c>
      <c r="F120" t="s">
        <v>87</v>
      </c>
      <c r="G120">
        <v>3</v>
      </c>
      <c r="H120">
        <v>0</v>
      </c>
      <c r="I120">
        <v>11086</v>
      </c>
      <c r="J120" t="s">
        <v>88</v>
      </c>
      <c r="K120">
        <f t="shared" si="14"/>
        <v>6625</v>
      </c>
      <c r="L120" t="s">
        <v>53</v>
      </c>
      <c r="M120" t="s">
        <v>21</v>
      </c>
      <c r="N120">
        <v>0</v>
      </c>
      <c r="O120">
        <v>10</v>
      </c>
      <c r="P120">
        <v>30</v>
      </c>
      <c r="Q120">
        <v>6</v>
      </c>
      <c r="R120">
        <v>0</v>
      </c>
      <c r="S120">
        <v>2010</v>
      </c>
    </row>
    <row r="121" spans="1:19" x14ac:dyDescent="0.2">
      <c r="A121">
        <v>1.4E-2</v>
      </c>
      <c r="B121">
        <v>1.7000000000000001E-2</v>
      </c>
      <c r="E121" t="s">
        <v>86</v>
      </c>
      <c r="F121" t="s">
        <v>87</v>
      </c>
      <c r="G121">
        <v>4</v>
      </c>
      <c r="H121">
        <v>0</v>
      </c>
      <c r="I121">
        <v>11086</v>
      </c>
      <c r="J121" t="s">
        <v>88</v>
      </c>
      <c r="K121">
        <f t="shared" si="14"/>
        <v>6625</v>
      </c>
      <c r="L121" t="s">
        <v>53</v>
      </c>
      <c r="M121" t="s">
        <v>21</v>
      </c>
      <c r="N121">
        <v>0</v>
      </c>
      <c r="O121">
        <v>10</v>
      </c>
      <c r="P121">
        <v>30</v>
      </c>
      <c r="Q121">
        <v>6</v>
      </c>
      <c r="R121">
        <v>0</v>
      </c>
      <c r="S121">
        <v>2010</v>
      </c>
    </row>
    <row r="122" spans="1:19" x14ac:dyDescent="0.2">
      <c r="A122">
        <v>3.2000000000000001E-2</v>
      </c>
      <c r="B122">
        <v>1.7000000000000001E-2</v>
      </c>
      <c r="E122" t="s">
        <v>86</v>
      </c>
      <c r="F122" t="s">
        <v>87</v>
      </c>
      <c r="G122">
        <v>5</v>
      </c>
      <c r="H122">
        <v>0</v>
      </c>
      <c r="I122">
        <v>11086</v>
      </c>
      <c r="J122" t="s">
        <v>88</v>
      </c>
      <c r="K122">
        <f t="shared" si="14"/>
        <v>6625</v>
      </c>
      <c r="L122" t="s">
        <v>53</v>
      </c>
      <c r="M122" t="s">
        <v>21</v>
      </c>
      <c r="N122">
        <v>0</v>
      </c>
      <c r="O122">
        <v>10</v>
      </c>
      <c r="P122">
        <v>30</v>
      </c>
      <c r="Q122">
        <v>6</v>
      </c>
      <c r="R122">
        <v>0</v>
      </c>
      <c r="S122">
        <v>2010</v>
      </c>
    </row>
    <row r="123" spans="1:19" x14ac:dyDescent="0.2">
      <c r="A123">
        <v>6.3E-2</v>
      </c>
      <c r="B123">
        <v>1.7000000000000001E-2</v>
      </c>
      <c r="E123" t="s">
        <v>86</v>
      </c>
      <c r="F123" t="s">
        <v>87</v>
      </c>
      <c r="G123">
        <v>6</v>
      </c>
      <c r="H123">
        <v>0</v>
      </c>
      <c r="I123">
        <v>11086</v>
      </c>
      <c r="J123" t="s">
        <v>88</v>
      </c>
      <c r="K123">
        <f t="shared" si="14"/>
        <v>6625</v>
      </c>
      <c r="L123" t="s">
        <v>53</v>
      </c>
      <c r="M123" t="s">
        <v>21</v>
      </c>
      <c r="N123">
        <v>0</v>
      </c>
      <c r="O123">
        <v>10</v>
      </c>
      <c r="P123">
        <v>30</v>
      </c>
      <c r="Q123">
        <v>6</v>
      </c>
      <c r="R123">
        <v>0</v>
      </c>
      <c r="S123">
        <v>2010</v>
      </c>
    </row>
    <row r="124" spans="1:19" x14ac:dyDescent="0.2">
      <c r="A124">
        <v>8.2000000000000003E-2</v>
      </c>
      <c r="B124">
        <v>1.7999999999999999E-2</v>
      </c>
      <c r="E124" t="s">
        <v>86</v>
      </c>
      <c r="F124" t="s">
        <v>87</v>
      </c>
      <c r="G124">
        <v>7</v>
      </c>
      <c r="H124">
        <v>0</v>
      </c>
      <c r="I124">
        <v>11086</v>
      </c>
      <c r="J124" t="s">
        <v>88</v>
      </c>
      <c r="K124">
        <f t="shared" si="14"/>
        <v>6625</v>
      </c>
      <c r="L124" t="s">
        <v>53</v>
      </c>
      <c r="M124" t="s">
        <v>21</v>
      </c>
      <c r="N124">
        <v>0</v>
      </c>
      <c r="O124">
        <v>10</v>
      </c>
      <c r="P124">
        <v>30</v>
      </c>
      <c r="Q124">
        <v>6</v>
      </c>
      <c r="R124">
        <v>0</v>
      </c>
      <c r="S124">
        <v>2010</v>
      </c>
    </row>
    <row r="125" spans="1:19" x14ac:dyDescent="0.2">
      <c r="A125">
        <v>8.6999999999999994E-2</v>
      </c>
      <c r="B125">
        <v>1.7999999999999999E-2</v>
      </c>
      <c r="E125" t="s">
        <v>86</v>
      </c>
      <c r="F125" t="s">
        <v>87</v>
      </c>
      <c r="G125">
        <v>8</v>
      </c>
      <c r="H125">
        <v>0</v>
      </c>
      <c r="I125">
        <v>11086</v>
      </c>
      <c r="J125" t="s">
        <v>88</v>
      </c>
      <c r="K125">
        <f t="shared" si="14"/>
        <v>6625</v>
      </c>
      <c r="L125" t="s">
        <v>53</v>
      </c>
      <c r="M125" t="s">
        <v>21</v>
      </c>
      <c r="N125">
        <v>0</v>
      </c>
      <c r="O125">
        <v>10</v>
      </c>
      <c r="P125">
        <v>30</v>
      </c>
      <c r="Q125">
        <v>6</v>
      </c>
      <c r="R125">
        <v>0</v>
      </c>
      <c r="S125">
        <v>2010</v>
      </c>
    </row>
  </sheetData>
  <autoFilter ref="A1:S95" xr:uid="{F5EDDA5A-0003-DE40-B442-FD4AF999DD3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F7A2-53FF-4B43-B030-C86708487524}">
  <dimension ref="A1:Z55"/>
  <sheetViews>
    <sheetView workbookViewId="0">
      <selection activeCell="O1" sqref="O1:AD64"/>
    </sheetView>
  </sheetViews>
  <sheetFormatPr baseColWidth="10" defaultColWidth="11" defaultRowHeight="16" x14ac:dyDescent="0.2"/>
  <sheetData>
    <row r="1" spans="1:26" x14ac:dyDescent="0.2">
      <c r="A1" t="s">
        <v>89</v>
      </c>
      <c r="B1" t="s">
        <v>6</v>
      </c>
      <c r="C1" t="s">
        <v>90</v>
      </c>
      <c r="L1" t="s">
        <v>91</v>
      </c>
      <c r="M1" t="s">
        <v>92</v>
      </c>
    </row>
    <row r="2" spans="1:26" x14ac:dyDescent="0.2">
      <c r="A2">
        <v>2703.6694000000002</v>
      </c>
      <c r="B2">
        <v>0</v>
      </c>
      <c r="C2">
        <v>1096.7648314376702</v>
      </c>
      <c r="E2">
        <v>2703.6694000000002</v>
      </c>
      <c r="G2">
        <f>$C$2/(1.165)^B2</f>
        <v>1096.7648314376702</v>
      </c>
      <c r="L2">
        <v>70000</v>
      </c>
      <c r="M2">
        <v>11000</v>
      </c>
    </row>
    <row r="3" spans="1:26" x14ac:dyDescent="0.2">
      <c r="A3">
        <v>2582.3012416427891</v>
      </c>
      <c r="B3">
        <v>1</v>
      </c>
      <c r="C3">
        <v>941.42903986066108</v>
      </c>
      <c r="E3">
        <f>E$2/(1.047)^B3</f>
        <v>2582.3012416427891</v>
      </c>
      <c r="G3">
        <f t="shared" ref="G3:G52" si="0">$C$2/(1.165)^B3</f>
        <v>941.42903986066108</v>
      </c>
    </row>
    <row r="4" spans="1:26" x14ac:dyDescent="0.2">
      <c r="A4">
        <v>2466.3813196206206</v>
      </c>
      <c r="B4">
        <f>B3+1</f>
        <v>2</v>
      </c>
      <c r="C4">
        <v>808.09359644691938</v>
      </c>
      <c r="E4">
        <f t="shared" ref="E4:E52" si="1">E$2/(1.047)^B4</f>
        <v>2466.3813196206206</v>
      </c>
      <c r="G4">
        <f t="shared" si="0"/>
        <v>808.09359644691938</v>
      </c>
      <c r="X4" s="1"/>
      <c r="Y4" s="1"/>
      <c r="Z4" s="1"/>
    </row>
    <row r="5" spans="1:26" x14ac:dyDescent="0.2">
      <c r="A5">
        <v>2355.6650617197906</v>
      </c>
      <c r="B5">
        <f t="shared" ref="B5:B52" si="2">B4+1</f>
        <v>3</v>
      </c>
      <c r="C5">
        <v>693.6425720574415</v>
      </c>
      <c r="E5">
        <f t="shared" si="1"/>
        <v>2355.6650617197906</v>
      </c>
      <c r="G5">
        <f t="shared" si="0"/>
        <v>693.6425720574415</v>
      </c>
      <c r="X5" s="1"/>
      <c r="Y5" s="1"/>
      <c r="Z5" s="1"/>
    </row>
    <row r="6" spans="1:26" x14ac:dyDescent="0.2">
      <c r="A6">
        <v>2249.9188746129807</v>
      </c>
      <c r="B6">
        <f t="shared" si="2"/>
        <v>4</v>
      </c>
      <c r="C6">
        <v>595.40134940552912</v>
      </c>
      <c r="E6">
        <f t="shared" si="1"/>
        <v>2249.9188746129807</v>
      </c>
      <c r="G6">
        <f t="shared" si="0"/>
        <v>595.40134940552912</v>
      </c>
      <c r="X6" s="1"/>
      <c r="Y6" s="1"/>
      <c r="Z6" s="1"/>
    </row>
    <row r="7" spans="1:26" x14ac:dyDescent="0.2">
      <c r="A7">
        <v>2148.9196510152633</v>
      </c>
      <c r="B7">
        <f t="shared" si="2"/>
        <v>5</v>
      </c>
      <c r="C7">
        <v>511.07411966139836</v>
      </c>
      <c r="E7">
        <f t="shared" si="1"/>
        <v>2148.9196510152633</v>
      </c>
      <c r="G7">
        <f t="shared" si="0"/>
        <v>511.07411966139836</v>
      </c>
      <c r="X7" s="1"/>
      <c r="Y7" s="1"/>
      <c r="Z7" s="1"/>
    </row>
    <row r="8" spans="1:26" x14ac:dyDescent="0.2">
      <c r="A8">
        <v>2052.4542989639576</v>
      </c>
      <c r="B8">
        <f t="shared" si="2"/>
        <v>6</v>
      </c>
      <c r="C8">
        <v>438.69023146901139</v>
      </c>
      <c r="E8">
        <f t="shared" si="1"/>
        <v>2052.4542989639576</v>
      </c>
      <c r="G8">
        <f t="shared" si="0"/>
        <v>438.69023146901139</v>
      </c>
      <c r="X8" s="1"/>
      <c r="Y8" s="1"/>
      <c r="Z8" s="1"/>
    </row>
    <row r="9" spans="1:26" x14ac:dyDescent="0.2">
      <c r="A9">
        <v>1960.3192922291862</v>
      </c>
      <c r="B9">
        <f t="shared" si="2"/>
        <v>7</v>
      </c>
      <c r="C9">
        <v>376.55813860000984</v>
      </c>
      <c r="E9">
        <f t="shared" si="1"/>
        <v>1960.3192922291862</v>
      </c>
      <c r="G9">
        <f t="shared" si="0"/>
        <v>376.55813860000984</v>
      </c>
      <c r="X9" s="1"/>
      <c r="Y9" s="1"/>
      <c r="Z9" s="1"/>
    </row>
    <row r="10" spans="1:26" x14ac:dyDescent="0.2">
      <c r="A10">
        <v>1872.3202409065773</v>
      </c>
      <c r="B10">
        <f t="shared" si="2"/>
        <v>8</v>
      </c>
      <c r="C10">
        <v>323.22587004292683</v>
      </c>
      <c r="E10">
        <f t="shared" si="1"/>
        <v>1872.3202409065773</v>
      </c>
      <c r="G10">
        <f t="shared" si="0"/>
        <v>323.22587004292683</v>
      </c>
      <c r="X10" s="1"/>
      <c r="Y10" s="1"/>
      <c r="Z10" s="1"/>
    </row>
    <row r="11" spans="1:26" x14ac:dyDescent="0.2">
      <c r="A11">
        <v>1788.2714812861293</v>
      </c>
      <c r="B11">
        <f t="shared" si="2"/>
        <v>9</v>
      </c>
      <c r="C11">
        <v>277.44709874929345</v>
      </c>
      <c r="E11">
        <f t="shared" si="1"/>
        <v>1788.2714812861293</v>
      </c>
      <c r="G11">
        <f t="shared" si="0"/>
        <v>277.44709874929345</v>
      </c>
      <c r="X11" s="1"/>
      <c r="Y11" s="1"/>
      <c r="Z11" s="1"/>
    </row>
    <row r="12" spans="1:26" x14ac:dyDescent="0.2">
      <c r="A12">
        <v>1707.995684131929</v>
      </c>
      <c r="B12">
        <f t="shared" si="2"/>
        <v>10</v>
      </c>
      <c r="C12">
        <v>238.1520160938141</v>
      </c>
      <c r="E12">
        <f t="shared" si="1"/>
        <v>1707.995684131929</v>
      </c>
      <c r="G12">
        <f t="shared" si="0"/>
        <v>238.1520160938141</v>
      </c>
      <c r="X12" s="1"/>
      <c r="Y12" s="1"/>
      <c r="Z12" s="1"/>
    </row>
    <row r="13" spans="1:26" x14ac:dyDescent="0.2">
      <c r="A13">
        <v>1631.3234805462553</v>
      </c>
      <c r="B13">
        <f t="shared" si="2"/>
        <v>11</v>
      </c>
      <c r="C13">
        <v>204.42233141099922</v>
      </c>
      <c r="E13">
        <f t="shared" si="1"/>
        <v>1631.3234805462553</v>
      </c>
      <c r="G13">
        <f t="shared" si="0"/>
        <v>204.42233141099922</v>
      </c>
      <c r="X13" s="1"/>
      <c r="Y13" s="1"/>
      <c r="Z13" s="1"/>
    </row>
    <row r="14" spans="1:26" x14ac:dyDescent="0.2">
      <c r="A14">
        <v>1558.093104628706</v>
      </c>
      <c r="B14">
        <f t="shared" si="2"/>
        <v>12</v>
      </c>
      <c r="C14">
        <v>175.4698123699564</v>
      </c>
      <c r="E14">
        <f t="shared" si="1"/>
        <v>1558.093104628706</v>
      </c>
      <c r="G14">
        <f t="shared" si="0"/>
        <v>175.4698123699564</v>
      </c>
      <c r="X14" s="1"/>
      <c r="Y14" s="1"/>
      <c r="Z14" s="1"/>
    </row>
    <row r="15" spans="1:26" x14ac:dyDescent="0.2">
      <c r="A15">
        <v>1488.1500521764146</v>
      </c>
      <c r="B15">
        <f t="shared" si="2"/>
        <v>13</v>
      </c>
      <c r="C15">
        <v>150.61786469524154</v>
      </c>
      <c r="E15">
        <f t="shared" si="1"/>
        <v>1488.1500521764146</v>
      </c>
      <c r="G15">
        <f t="shared" si="0"/>
        <v>150.61786469524154</v>
      </c>
      <c r="X15" s="1"/>
      <c r="Y15" s="1"/>
      <c r="Z15" s="1"/>
    </row>
    <row r="16" spans="1:26" x14ac:dyDescent="0.2">
      <c r="A16">
        <v>1421.3467547052674</v>
      </c>
      <c r="B16">
        <f t="shared" si="2"/>
        <v>14</v>
      </c>
      <c r="C16">
        <v>129.28572076844765</v>
      </c>
      <c r="E16">
        <f t="shared" si="1"/>
        <v>1421.3467547052674</v>
      </c>
      <c r="G16">
        <f t="shared" si="0"/>
        <v>129.28572076844765</v>
      </c>
      <c r="X16" s="1"/>
      <c r="Y16" s="1"/>
      <c r="Z16" s="1"/>
    </row>
    <row r="17" spans="1:26" x14ac:dyDescent="0.2">
      <c r="A17">
        <v>1357.5422681043624</v>
      </c>
      <c r="B17">
        <f t="shared" si="2"/>
        <v>15</v>
      </c>
      <c r="C17">
        <v>110.97486761240143</v>
      </c>
      <c r="E17">
        <f t="shared" si="1"/>
        <v>1357.5422681043624</v>
      </c>
      <c r="G17">
        <f t="shared" si="0"/>
        <v>110.97486761240143</v>
      </c>
      <c r="X17" s="1"/>
      <c r="Y17" s="1"/>
      <c r="Z17" s="1"/>
    </row>
    <row r="18" spans="1:26" x14ac:dyDescent="0.2">
      <c r="A18">
        <v>1296.6019752668221</v>
      </c>
      <c r="B18">
        <f t="shared" si="2"/>
        <v>16</v>
      </c>
      <c r="E18">
        <f t="shared" si="1"/>
        <v>1296.6019752668221</v>
      </c>
      <c r="G18">
        <f t="shared" si="0"/>
        <v>95.257397092190061</v>
      </c>
      <c r="X18" s="1"/>
      <c r="Y18" s="1"/>
      <c r="Z18" s="1"/>
    </row>
    <row r="19" spans="1:26" x14ac:dyDescent="0.2">
      <c r="A19">
        <v>1238.3973020695532</v>
      </c>
      <c r="B19">
        <f t="shared" si="2"/>
        <v>17</v>
      </c>
      <c r="E19">
        <f t="shared" si="1"/>
        <v>1238.3973020695532</v>
      </c>
      <c r="G19">
        <f t="shared" si="0"/>
        <v>81.766006087716775</v>
      </c>
      <c r="X19" s="1"/>
      <c r="Y19" s="1"/>
      <c r="Z19" s="1"/>
    </row>
    <row r="20" spans="1:26" x14ac:dyDescent="0.2">
      <c r="A20">
        <v>1182.8054461027255</v>
      </c>
      <c r="B20">
        <f t="shared" si="2"/>
        <v>18</v>
      </c>
      <c r="E20">
        <f t="shared" si="1"/>
        <v>1182.8054461027255</v>
      </c>
      <c r="G20">
        <f t="shared" si="0"/>
        <v>70.185412950829857</v>
      </c>
      <c r="X20" s="1"/>
      <c r="Y20" s="1"/>
      <c r="Z20" s="1"/>
    </row>
    <row r="21" spans="1:26" x14ac:dyDescent="0.2">
      <c r="A21">
        <v>1129.7091175766241</v>
      </c>
      <c r="B21">
        <f t="shared" si="2"/>
        <v>19</v>
      </c>
      <c r="E21">
        <f t="shared" si="1"/>
        <v>1129.7091175766241</v>
      </c>
      <c r="G21">
        <f t="shared" si="0"/>
        <v>60.244989657364684</v>
      </c>
      <c r="X21" s="1"/>
      <c r="Y21" s="1"/>
      <c r="Z21" s="1"/>
    </row>
    <row r="22" spans="1:26" x14ac:dyDescent="0.2">
      <c r="A22">
        <v>1078.99629185924</v>
      </c>
      <c r="B22">
        <f t="shared" si="2"/>
        <v>20</v>
      </c>
      <c r="E22">
        <f t="shared" si="1"/>
        <v>1078.99629185924</v>
      </c>
      <c r="G22">
        <f t="shared" si="0"/>
        <v>51.71243747413277</v>
      </c>
      <c r="X22" s="1"/>
      <c r="Y22" s="1"/>
      <c r="Z22" s="1"/>
    </row>
    <row r="23" spans="1:26" x14ac:dyDescent="0.2">
      <c r="A23">
        <v>1030.5599731224831</v>
      </c>
      <c r="B23">
        <f t="shared" si="2"/>
        <v>21</v>
      </c>
      <c r="E23">
        <f t="shared" si="1"/>
        <v>1030.5599731224831</v>
      </c>
      <c r="G23">
        <f t="shared" si="0"/>
        <v>44.388358346895082</v>
      </c>
      <c r="X23" s="1"/>
      <c r="Y23" s="1"/>
      <c r="Z23" s="1"/>
    </row>
    <row r="24" spans="1:26" x14ac:dyDescent="0.2">
      <c r="A24">
        <v>984.29796859836051</v>
      </c>
      <c r="B24">
        <f t="shared" si="2"/>
        <v>22</v>
      </c>
      <c r="E24">
        <f t="shared" si="1"/>
        <v>984.29796859836051</v>
      </c>
      <c r="G24">
        <f t="shared" si="0"/>
        <v>38.101595147549425</v>
      </c>
      <c r="X24" s="1"/>
      <c r="Y24" s="1"/>
      <c r="Z24" s="1"/>
    </row>
    <row r="25" spans="1:26" x14ac:dyDescent="0.2">
      <c r="A25">
        <v>940.11267296882568</v>
      </c>
      <c r="B25">
        <f t="shared" si="2"/>
        <v>23</v>
      </c>
      <c r="E25">
        <f t="shared" si="1"/>
        <v>940.11267296882568</v>
      </c>
      <c r="G25">
        <f t="shared" si="0"/>
        <v>32.705231886308518</v>
      </c>
      <c r="X25" s="1"/>
      <c r="Y25" s="1"/>
      <c r="Z25" s="1"/>
    </row>
    <row r="26" spans="1:26" x14ac:dyDescent="0.2">
      <c r="A26">
        <v>897.91086243440861</v>
      </c>
      <c r="B26">
        <f t="shared" si="2"/>
        <v>24</v>
      </c>
      <c r="E26">
        <f t="shared" si="1"/>
        <v>897.91086243440861</v>
      </c>
      <c r="G26">
        <f t="shared" si="0"/>
        <v>28.073160417432199</v>
      </c>
      <c r="X26" s="1"/>
      <c r="Y26" s="1"/>
      <c r="Z26" s="1"/>
    </row>
    <row r="27" spans="1:26" x14ac:dyDescent="0.2">
      <c r="A27">
        <v>857.60349802713336</v>
      </c>
      <c r="B27">
        <f t="shared" si="2"/>
        <v>25</v>
      </c>
      <c r="E27">
        <f t="shared" si="1"/>
        <v>857.60349802713336</v>
      </c>
      <c r="G27">
        <f t="shared" si="0"/>
        <v>24.097133405521202</v>
      </c>
      <c r="X27" s="1"/>
      <c r="Y27" s="1"/>
      <c r="Z27" s="1"/>
    </row>
    <row r="28" spans="1:26" x14ac:dyDescent="0.2">
      <c r="A28">
        <v>819.10553775275412</v>
      </c>
      <c r="B28">
        <f t="shared" si="2"/>
        <v>26</v>
      </c>
      <c r="E28">
        <f t="shared" si="1"/>
        <v>819.10553775275412</v>
      </c>
      <c r="G28">
        <f t="shared" si="0"/>
        <v>20.684234682850814</v>
      </c>
      <c r="X28" s="1"/>
      <c r="Y28" s="1"/>
      <c r="Z28" s="1"/>
    </row>
    <row r="29" spans="1:26" x14ac:dyDescent="0.2">
      <c r="A29">
        <v>782.33575716595442</v>
      </c>
      <c r="B29">
        <f t="shared" si="2"/>
        <v>27</v>
      </c>
      <c r="E29">
        <f t="shared" si="1"/>
        <v>782.33575716595442</v>
      </c>
      <c r="G29">
        <f t="shared" si="0"/>
        <v>17.75470788227538</v>
      </c>
      <c r="X29" s="1"/>
      <c r="Y29" s="1"/>
      <c r="Z29" s="1"/>
    </row>
    <row r="30" spans="1:26" x14ac:dyDescent="0.2">
      <c r="A30">
        <v>747.21657799995648</v>
      </c>
      <c r="B30">
        <f t="shared" si="2"/>
        <v>28</v>
      </c>
      <c r="E30">
        <f t="shared" si="1"/>
        <v>747.21657799995648</v>
      </c>
      <c r="G30">
        <f t="shared" si="0"/>
        <v>15.240092602811481</v>
      </c>
      <c r="X30" s="1"/>
      <c r="Y30" s="1"/>
      <c r="Z30" s="1"/>
    </row>
    <row r="31" spans="1:26" x14ac:dyDescent="0.2">
      <c r="A31">
        <v>713.6739044889747</v>
      </c>
      <c r="B31">
        <f t="shared" si="2"/>
        <v>29</v>
      </c>
      <c r="E31">
        <f t="shared" si="1"/>
        <v>713.6739044889747</v>
      </c>
      <c r="G31">
        <f t="shared" si="0"/>
        <v>13.081624551769512</v>
      </c>
      <c r="X31" s="1"/>
      <c r="Y31" s="1"/>
      <c r="Z31" s="1"/>
    </row>
    <row r="32" spans="1:26" x14ac:dyDescent="0.2">
      <c r="A32">
        <v>681.63696703818039</v>
      </c>
      <c r="B32">
        <f t="shared" si="2"/>
        <v>30</v>
      </c>
      <c r="E32">
        <f t="shared" si="1"/>
        <v>681.63696703818039</v>
      </c>
      <c r="G32">
        <f t="shared" si="0"/>
        <v>11.228862276197004</v>
      </c>
      <c r="X32" s="1"/>
      <c r="Y32" s="1"/>
      <c r="Z32" s="1"/>
    </row>
    <row r="33" spans="1:26" x14ac:dyDescent="0.2">
      <c r="A33">
        <v>651.03817291134715</v>
      </c>
      <c r="B33">
        <f t="shared" si="2"/>
        <v>31</v>
      </c>
      <c r="E33">
        <f t="shared" si="1"/>
        <v>651.03817291134715</v>
      </c>
      <c r="G33">
        <f t="shared" si="0"/>
        <v>9.6385083915854128</v>
      </c>
      <c r="X33" s="1"/>
      <c r="Y33" s="1"/>
      <c r="Z33" s="1"/>
    </row>
    <row r="34" spans="1:26" x14ac:dyDescent="0.2">
      <c r="A34">
        <v>621.81296362115302</v>
      </c>
      <c r="B34">
        <f t="shared" si="2"/>
        <v>32</v>
      </c>
      <c r="E34">
        <f t="shared" si="1"/>
        <v>621.81296362115302</v>
      </c>
      <c r="G34">
        <f t="shared" si="0"/>
        <v>8.273397761017522</v>
      </c>
      <c r="X34" s="1"/>
      <c r="Y34" s="1"/>
      <c r="Z34" s="1"/>
    </row>
    <row r="35" spans="1:26" x14ac:dyDescent="0.2">
      <c r="A35">
        <v>593.89967872125408</v>
      </c>
      <c r="B35">
        <f t="shared" si="2"/>
        <v>33</v>
      </c>
      <c r="E35">
        <f t="shared" si="1"/>
        <v>593.89967872125408</v>
      </c>
      <c r="G35">
        <f t="shared" si="0"/>
        <v>7.1016289794141807</v>
      </c>
      <c r="X35" s="1"/>
      <c r="Y35" s="1"/>
      <c r="Z35" s="1"/>
    </row>
    <row r="36" spans="1:26" x14ac:dyDescent="0.2">
      <c r="A36">
        <v>567.23942571275472</v>
      </c>
      <c r="B36">
        <f t="shared" si="2"/>
        <v>34</v>
      </c>
      <c r="E36">
        <f t="shared" si="1"/>
        <v>567.23942571275472</v>
      </c>
      <c r="G36">
        <f t="shared" si="0"/>
        <v>6.0958188664499406</v>
      </c>
      <c r="X36" s="1"/>
      <c r="Y36" s="1"/>
      <c r="Z36" s="1"/>
    </row>
    <row r="37" spans="1:26" x14ac:dyDescent="0.2">
      <c r="A37">
        <v>541.77595579059675</v>
      </c>
      <c r="B37">
        <f t="shared" si="2"/>
        <v>35</v>
      </c>
      <c r="E37">
        <f t="shared" si="1"/>
        <v>541.77595579059675</v>
      </c>
      <c r="G37">
        <f t="shared" si="0"/>
        <v>5.2324625463089616</v>
      </c>
      <c r="X37" s="1"/>
      <c r="Y37" s="1"/>
      <c r="Z37" s="1"/>
    </row>
    <row r="38" spans="1:26" x14ac:dyDescent="0.2">
      <c r="A38">
        <v>517.45554516771426</v>
      </c>
      <c r="B38">
        <f t="shared" si="2"/>
        <v>36</v>
      </c>
      <c r="E38">
        <f t="shared" si="1"/>
        <v>517.45554516771426</v>
      </c>
      <c r="G38">
        <f t="shared" si="0"/>
        <v>4.4913841599218554</v>
      </c>
      <c r="X38" s="1"/>
      <c r="Y38" s="1"/>
      <c r="Z38" s="1"/>
    </row>
    <row r="39" spans="1:26" x14ac:dyDescent="0.2">
      <c r="A39">
        <v>494.22688172656564</v>
      </c>
      <c r="B39">
        <f t="shared" si="2"/>
        <v>37</v>
      </c>
      <c r="E39">
        <f t="shared" si="1"/>
        <v>494.22688172656564</v>
      </c>
      <c r="G39">
        <f t="shared" si="0"/>
        <v>3.8552653733234807</v>
      </c>
      <c r="X39" s="1"/>
      <c r="Y39" s="1"/>
      <c r="Z39" s="1"/>
    </row>
    <row r="40" spans="1:26" x14ac:dyDescent="0.2">
      <c r="A40">
        <v>472.04095675889755</v>
      </c>
      <c r="B40">
        <f t="shared" si="2"/>
        <v>38</v>
      </c>
      <c r="E40">
        <f t="shared" si="1"/>
        <v>472.04095675889755</v>
      </c>
      <c r="G40">
        <f t="shared" si="0"/>
        <v>3.3092406637969787</v>
      </c>
      <c r="X40" s="1"/>
      <c r="Y40" s="1"/>
      <c r="Z40" s="1"/>
    </row>
    <row r="41" spans="1:26" x14ac:dyDescent="0.2">
      <c r="A41">
        <v>450.85096156532722</v>
      </c>
      <c r="B41">
        <f t="shared" si="2"/>
        <v>39</v>
      </c>
      <c r="E41">
        <f t="shared" si="1"/>
        <v>450.85096156532722</v>
      </c>
      <c r="G41">
        <f t="shared" si="0"/>
        <v>2.8405499260059903</v>
      </c>
      <c r="X41" s="1"/>
      <c r="Y41" s="1"/>
      <c r="Z41" s="1"/>
    </row>
    <row r="42" spans="1:26" x14ac:dyDescent="0.2">
      <c r="A42">
        <v>430.61218869658768</v>
      </c>
      <c r="B42">
        <f t="shared" si="2"/>
        <v>40</v>
      </c>
      <c r="E42">
        <f t="shared" si="1"/>
        <v>430.61218869658768</v>
      </c>
      <c r="G42">
        <f t="shared" si="0"/>
        <v>2.4382402798334679</v>
      </c>
      <c r="X42" s="1"/>
      <c r="Y42" s="1"/>
      <c r="Z42" s="1"/>
    </row>
    <row r="43" spans="1:26" x14ac:dyDescent="0.2">
      <c r="A43">
        <v>411.28193762806848</v>
      </c>
      <c r="B43">
        <f t="shared" si="2"/>
        <v>41</v>
      </c>
      <c r="E43">
        <f t="shared" si="1"/>
        <v>411.28193762806848</v>
      </c>
      <c r="G43">
        <f t="shared" si="0"/>
        <v>2.092910111445037</v>
      </c>
      <c r="X43" s="1"/>
      <c r="Y43" s="1"/>
      <c r="Z43" s="1"/>
    </row>
    <row r="44" spans="1:26" x14ac:dyDescent="0.2">
      <c r="A44">
        <v>392.81942466864234</v>
      </c>
      <c r="B44">
        <f t="shared" si="2"/>
        <v>42</v>
      </c>
      <c r="E44">
        <f t="shared" si="1"/>
        <v>392.81942466864234</v>
      </c>
      <c r="G44">
        <f t="shared" si="0"/>
        <v>1.7964893660472419</v>
      </c>
      <c r="X44" s="1"/>
      <c r="Y44" s="1"/>
      <c r="Z44" s="1"/>
    </row>
    <row r="45" spans="1:26" x14ac:dyDescent="0.2">
      <c r="A45">
        <v>375.18569691369856</v>
      </c>
      <c r="B45">
        <f t="shared" si="2"/>
        <v>43</v>
      </c>
      <c r="E45">
        <f t="shared" si="1"/>
        <v>375.18569691369856</v>
      </c>
      <c r="G45">
        <f t="shared" si="0"/>
        <v>1.5420509579804651</v>
      </c>
      <c r="X45" s="1"/>
      <c r="Y45" s="1"/>
      <c r="Z45" s="1"/>
    </row>
    <row r="46" spans="1:26" x14ac:dyDescent="0.2">
      <c r="A46">
        <v>358.34355006083916</v>
      </c>
      <c r="B46">
        <f t="shared" si="2"/>
        <v>44</v>
      </c>
      <c r="E46">
        <f t="shared" si="1"/>
        <v>358.34355006083916</v>
      </c>
      <c r="G46">
        <f t="shared" si="0"/>
        <v>1.3236488909703563</v>
      </c>
      <c r="X46" s="1"/>
      <c r="Y46" s="1"/>
      <c r="Z46" s="1"/>
    </row>
    <row r="47" spans="1:26" x14ac:dyDescent="0.2">
      <c r="A47">
        <v>342.25744991484157</v>
      </c>
      <c r="B47">
        <f t="shared" si="2"/>
        <v>45</v>
      </c>
      <c r="E47">
        <f t="shared" si="1"/>
        <v>342.25744991484157</v>
      </c>
      <c r="G47">
        <f t="shared" si="0"/>
        <v>1.1361793055539537</v>
      </c>
      <c r="X47" s="1"/>
      <c r="Y47" s="1"/>
      <c r="Z47" s="1"/>
    </row>
    <row r="48" spans="1:26" x14ac:dyDescent="0.2">
      <c r="A48">
        <v>326.8934574162767</v>
      </c>
      <c r="B48">
        <f t="shared" si="2"/>
        <v>46</v>
      </c>
      <c r="E48">
        <f t="shared" si="1"/>
        <v>326.8934574162767</v>
      </c>
      <c r="G48">
        <f t="shared" si="0"/>
        <v>0.97526120648408032</v>
      </c>
      <c r="X48" s="1"/>
      <c r="Y48" s="1"/>
      <c r="Z48" s="1"/>
    </row>
    <row r="49" spans="1:26" x14ac:dyDescent="0.2">
      <c r="A49">
        <v>312.2191570356033</v>
      </c>
      <c r="B49">
        <f t="shared" si="2"/>
        <v>47</v>
      </c>
      <c r="E49">
        <f t="shared" si="1"/>
        <v>312.2191570356033</v>
      </c>
      <c r="G49">
        <f t="shared" si="0"/>
        <v>0.83713408281895318</v>
      </c>
      <c r="X49" s="1"/>
      <c r="Y49" s="1"/>
      <c r="Z49" s="1"/>
    </row>
    <row r="50" spans="1:26" x14ac:dyDescent="0.2">
      <c r="A50">
        <v>298.20358838166516</v>
      </c>
      <c r="B50">
        <f t="shared" si="2"/>
        <v>48</v>
      </c>
      <c r="E50">
        <f t="shared" si="1"/>
        <v>298.20358838166516</v>
      </c>
      <c r="G50">
        <f t="shared" si="0"/>
        <v>0.71857002817077509</v>
      </c>
      <c r="X50" s="1"/>
      <c r="Y50" s="1"/>
      <c r="Z50" s="1"/>
    </row>
    <row r="51" spans="1:26" x14ac:dyDescent="0.2">
      <c r="A51">
        <v>284.81718088029146</v>
      </c>
      <c r="B51">
        <f t="shared" si="2"/>
        <v>49</v>
      </c>
      <c r="E51">
        <f t="shared" si="1"/>
        <v>284.81718088029146</v>
      </c>
      <c r="G51">
        <f t="shared" si="0"/>
        <v>0.61679830744272546</v>
      </c>
      <c r="X51" s="1"/>
      <c r="Y51" s="1"/>
      <c r="Z51" s="1"/>
    </row>
    <row r="52" spans="1:26" x14ac:dyDescent="0.2">
      <c r="A52">
        <v>272.03169138518774</v>
      </c>
      <c r="B52">
        <f t="shared" si="2"/>
        <v>50</v>
      </c>
      <c r="E52">
        <f t="shared" si="1"/>
        <v>272.03169138518774</v>
      </c>
      <c r="G52">
        <f t="shared" si="0"/>
        <v>0.5294406072469745</v>
      </c>
      <c r="X52" s="1"/>
      <c r="Y52" s="1"/>
      <c r="Z52" s="1"/>
    </row>
    <row r="53" spans="1:26" x14ac:dyDescent="0.2">
      <c r="X53" s="1"/>
      <c r="Y53" s="1"/>
      <c r="Z53" s="1"/>
    </row>
    <row r="54" spans="1:26" x14ac:dyDescent="0.2">
      <c r="X54" s="1"/>
      <c r="Y54" s="1"/>
      <c r="Z54" s="1"/>
    </row>
    <row r="55" spans="1:26" x14ac:dyDescent="0.2">
      <c r="X55" s="1"/>
      <c r="Y55" s="1"/>
      <c r="Z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 Time</vt:lpstr>
      <vt:lpstr>depreciation_exemplar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Claire Mackevicius</cp:lastModifiedBy>
  <cp:revision/>
  <dcterms:created xsi:type="dcterms:W3CDTF">2019-08-08T13:39:07Z</dcterms:created>
  <dcterms:modified xsi:type="dcterms:W3CDTF">2023-11-06T15:35:12Z</dcterms:modified>
  <cp:category/>
  <cp:contentStatus/>
</cp:coreProperties>
</file>