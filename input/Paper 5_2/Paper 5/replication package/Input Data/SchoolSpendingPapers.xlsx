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https://nuwildcat-my.sharepoint.com/personal/cms9530_ads_northwestern_edu/Documents/GRAD SCHOOL/School Funding M-A Code to Share/Jackson Mackevicius Replication/Input Data/"/>
    </mc:Choice>
  </mc:AlternateContent>
  <xr:revisionPtr revIDLastSave="16" documentId="13_ncr:1_{DF0D6805-7348-394C-8062-E0BAD977B329}" xr6:coauthVersionLast="47" xr6:coauthVersionMax="47" xr10:uidLastSave="{003BD78D-7369-B540-9157-17BF2556B661}"/>
  <bookViews>
    <workbookView xWindow="-33280" yWindow="-5500" windowWidth="35160" windowHeight="21520" xr2:uid="{D2DC743A-2589-974F-ABD4-104FC91DAD20}"/>
  </bookViews>
  <sheets>
    <sheet name="OverallPopulation" sheetId="9" r:id="rId1"/>
  </sheets>
  <definedNames>
    <definedName name="_xlnm._FilterDatabase" localSheetId="0" hidden="1">OverallPopulation!$A$1:$BR$79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X74" i="9" l="1"/>
  <c r="W74" i="9"/>
  <c r="AY74" i="9"/>
  <c r="AQ72" i="9"/>
  <c r="AQ74" i="9"/>
  <c r="AE76" i="9" l="1"/>
  <c r="AY26" i="9" l="1"/>
  <c r="AU26" i="9"/>
  <c r="AC66" i="9"/>
  <c r="AC62" i="9"/>
  <c r="AC57" i="9"/>
  <c r="AC56" i="9"/>
  <c r="AC55" i="9"/>
  <c r="AC42" i="9"/>
  <c r="AC21" i="9"/>
  <c r="AC20" i="9"/>
  <c r="AC19" i="9"/>
  <c r="AC78" i="9"/>
  <c r="AC45" i="9"/>
  <c r="AC44" i="9"/>
  <c r="AC43" i="9"/>
  <c r="AC49" i="9"/>
  <c r="AC48" i="9"/>
  <c r="AC47" i="9"/>
  <c r="AC40" i="9"/>
  <c r="AC39" i="9"/>
  <c r="AC38" i="9"/>
  <c r="AC11" i="9"/>
  <c r="AC10" i="9"/>
  <c r="AU8" i="9" l="1"/>
  <c r="H8" i="9"/>
  <c r="G8" i="9"/>
  <c r="AV10" i="9"/>
  <c r="AV11" i="9"/>
  <c r="AU10" i="9"/>
  <c r="H10" i="9"/>
  <c r="G10" i="9"/>
  <c r="G9" i="9"/>
  <c r="G11" i="9"/>
  <c r="AU11" i="9"/>
  <c r="H11" i="9"/>
  <c r="AQ11" i="9"/>
  <c r="AQ9" i="9"/>
  <c r="AV9" i="9"/>
  <c r="AU9" i="9"/>
  <c r="H9" i="9"/>
  <c r="AY31" i="9"/>
  <c r="AU64" i="9" l="1"/>
  <c r="AQ40" i="9"/>
  <c r="AQ39" i="9"/>
  <c r="AV58" i="9" l="1"/>
  <c r="AU58" i="9"/>
  <c r="H6" i="9"/>
  <c r="H3" i="9"/>
  <c r="G3" i="9"/>
  <c r="AQ2" i="9"/>
  <c r="AC5" i="9"/>
  <c r="AQ5" i="9"/>
  <c r="H16" i="9"/>
  <c r="G16" i="9"/>
  <c r="AQ16" i="9"/>
  <c r="AU19" i="9"/>
  <c r="AQ19" i="9"/>
  <c r="AU47" i="9"/>
  <c r="AV43" i="9"/>
  <c r="AQ43" i="9"/>
  <c r="H58" i="9"/>
  <c r="G58" i="9"/>
  <c r="AQ58" i="9"/>
  <c r="G60" i="9" l="1"/>
  <c r="AE75" i="9" l="1"/>
  <c r="AE64" i="9"/>
  <c r="AE63" i="9"/>
  <c r="AE32" i="9" l="1"/>
  <c r="AE33" i="9"/>
  <c r="AE28" i="9"/>
  <c r="AE27" i="9"/>
  <c r="AE24" i="9"/>
  <c r="AU51" i="9"/>
  <c r="AU23" i="9" l="1"/>
  <c r="AU21" i="9" l="1"/>
  <c r="AQ10" i="9" l="1"/>
  <c r="AV8" i="9"/>
  <c r="AQ8" i="9"/>
  <c r="AU65" i="9"/>
  <c r="AQ28" i="9" l="1"/>
  <c r="AV51" i="9"/>
  <c r="AU62" i="9"/>
  <c r="AV44" i="9" l="1"/>
  <c r="AV45" i="9"/>
  <c r="AU45" i="9"/>
  <c r="H45" i="9"/>
  <c r="G45" i="9"/>
  <c r="AQ45" i="9"/>
  <c r="AQ78" i="9" l="1"/>
  <c r="AQ79" i="9"/>
  <c r="AU77" i="9" l="1"/>
  <c r="AC32" i="9" l="1"/>
  <c r="AC33" i="9"/>
  <c r="AQ77" i="9" l="1"/>
  <c r="AQ37" i="9"/>
  <c r="AB23" i="9" l="1"/>
  <c r="AQ21" i="9"/>
  <c r="AC6" i="9"/>
  <c r="AC7" i="9"/>
  <c r="AQ6" i="9"/>
  <c r="AV3" i="9"/>
  <c r="AQ3" i="9"/>
  <c r="AQ7" i="9"/>
  <c r="AQ4" i="9"/>
  <c r="AQ12" i="9" l="1"/>
  <c r="AQ59" i="9" l="1"/>
  <c r="AQ60" i="9"/>
  <c r="AQ64" i="9"/>
  <c r="AQ51" i="9"/>
  <c r="AQ44" i="9"/>
  <c r="AQ38" i="9"/>
  <c r="AQ34" i="9"/>
  <c r="AQ27" i="9"/>
  <c r="AQ23" i="9"/>
  <c r="AQ20" i="9"/>
  <c r="AQ17" i="9"/>
  <c r="AQ18" i="9"/>
  <c r="AQ70" i="9"/>
  <c r="AQ71" i="9"/>
  <c r="AQ63" i="9"/>
  <c r="AQ36" i="9"/>
  <c r="AQ32" i="9"/>
  <c r="AQ33" i="9"/>
  <c r="AQ25" i="9"/>
  <c r="G18" i="9" l="1"/>
  <c r="H18" i="9"/>
  <c r="AU3" i="9"/>
  <c r="AU6" i="9"/>
  <c r="G6" i="9" l="1"/>
  <c r="AC75" i="9" l="1"/>
  <c r="AB68" i="9"/>
  <c r="AC68" i="9" s="1"/>
  <c r="AE68" i="9"/>
  <c r="AU68" i="9" s="1"/>
  <c r="AU20" i="9" l="1"/>
  <c r="AU66" i="9" l="1"/>
  <c r="AU48" i="9"/>
  <c r="AU49" i="9" l="1"/>
  <c r="H59" i="9" l="1"/>
  <c r="G59" i="9"/>
  <c r="H17" i="9"/>
  <c r="G17" i="9"/>
  <c r="H60" i="9" l="1"/>
  <c r="AB34" i="9" l="1"/>
  <c r="AE34" i="9"/>
  <c r="BP65" i="9"/>
  <c r="BK65" i="9"/>
  <c r="AB67" i="9"/>
  <c r="AB63" i="9"/>
  <c r="AC36" i="9"/>
  <c r="AC25" i="9"/>
  <c r="AB36" i="9"/>
  <c r="AB25" i="9"/>
</calcChain>
</file>

<file path=xl/sharedStrings.xml><?xml version="1.0" encoding="utf-8"?>
<sst xmlns="http://schemas.openxmlformats.org/spreadsheetml/2006/main" count="1347" uniqueCount="609">
  <si>
    <t>Article_Year</t>
  </si>
  <si>
    <t>Article_Title</t>
  </si>
  <si>
    <t>Article_Authors</t>
  </si>
  <si>
    <t>Article_Journal</t>
  </si>
  <si>
    <t>PPE_dollarsyear</t>
  </si>
  <si>
    <t>PPE_dollarstype</t>
  </si>
  <si>
    <t>Study_outcome</t>
  </si>
  <si>
    <t>Outcome_baseline</t>
  </si>
  <si>
    <t>Outcome_baseline_source</t>
  </si>
  <si>
    <t>Outcome_baseline_SE</t>
  </si>
  <si>
    <t>Study_hasoverallest</t>
  </si>
  <si>
    <t>EstimatedEffect_reversesign</t>
  </si>
  <si>
    <t>EstimatedEffect_SE_underreported</t>
  </si>
  <si>
    <t>PPE_baseline</t>
  </si>
  <si>
    <t>PPE_baseline_source</t>
  </si>
  <si>
    <t>Study_yearsofdata</t>
  </si>
  <si>
    <t>Study_ismultistate</t>
  </si>
  <si>
    <t>Study_estimationstrategy</t>
  </si>
  <si>
    <t>Study_multobs_single_pop</t>
  </si>
  <si>
    <t>EstimatedEffect_unitsstand</t>
  </si>
  <si>
    <t>Article_abstract</t>
  </si>
  <si>
    <t>School District Operational Spending and Student Outcomes: Evidence from Tax Elections in Seven States</t>
  </si>
  <si>
    <t>Abott Kogan Lavertu Peskowitz</t>
  </si>
  <si>
    <t>RD</t>
  </si>
  <si>
    <t>Kreisman Steinberg</t>
  </si>
  <si>
    <t>Matsudaira Hosek Walsh</t>
  </si>
  <si>
    <t>Miller</t>
  </si>
  <si>
    <t>Rauscher</t>
  </si>
  <si>
    <t>Brunner Hyman Ju</t>
  </si>
  <si>
    <t>Lafortune Rothstein Schanzenbach</t>
  </si>
  <si>
    <t>Weinstein Stiefel Schwartz Chalico</t>
  </si>
  <si>
    <t>Kogan Lavertu Peskowitz</t>
  </si>
  <si>
    <t>Direct Democracy and Administrative Disruption</t>
  </si>
  <si>
    <t>Direct democracy is often touted as a means of reining in the administrative state, but it could also hinder the performance of public organizations. In particular, we argue that bargaining dynamics between voters and government officials can lead to costly administrative disruptions. We explore this issue by estimating the impact of Ohio tax referenda on school district administration using a regression discontinuity approach. The results suggest that administrators in districts where referenda failed sought to insulate core functions from revenue declines. Nonetheless, referendum failure (as opposed to passage) led to lower instructional spending, teacher attrition, and lower student achievement growth. Spending and performance generally rebounded within a few years, however, as districts eventually secured approval for a subsequent tax proposal. These results illustrate how involving citizens in decision-making can entail short-term transaction costs in the form of decreased administrative performance, which in this case may have had lasting achievement effects for students attending school in the wake of a referendum failure.</t>
  </si>
  <si>
    <t>Conlin Thompson</t>
  </si>
  <si>
    <t>Impacts of new school facility construction: An analysis of a state-ﬁnanced capital subsidy program in Ohio</t>
  </si>
  <si>
    <t>Economics of Education Review</t>
  </si>
  <si>
    <t>Goncalves</t>
  </si>
  <si>
    <t>The Eﬀects of School Construction on Student and District Outcomes: Evidence from a State-Funded Program in Ohio</t>
  </si>
  <si>
    <t>PPEchange_source</t>
  </si>
  <si>
    <t>Review of Economics and Statistics</t>
  </si>
  <si>
    <t>School Finance Reforms, Teachers’ Unions, and the Allocation of School Resources</t>
  </si>
  <si>
    <t>within-state 1980 income terciles because reforms were designed to differentially impact state aid for low- and high-income districts, with the goal of equalizing school funding</t>
  </si>
  <si>
    <t>Table 7 column 3 Bottom Tercile Years Post-Reform</t>
  </si>
  <si>
    <t>Table 2 column 6 Current Expenditures State Aid</t>
  </si>
  <si>
    <t>the least wealthy districts are the ﬁrst to become eligible for the funding, with wealthier districts becoming eligible for the funding in subsequent years – as the cutoff is moved farther up the equity ranking.</t>
  </si>
  <si>
    <t>Table 3</t>
  </si>
  <si>
    <t>This paper analyzes Ohio’s capital subsidy program which distributed over $10B for school construction in 231 school districts between 1997 and 2011. Using an instrumental variables estimation, we ﬁnd the percentage of students meeting test score proﬁciency thresholds decrease in math and reading in the ﬁrst couple years after the capital expenditures and then increase in subsequent years. These results are consistent with short-term disruptions in student learning followed by long-term beneﬁts from the capital expenditures. We also consider mechanisms by which capital expenditures affect achievement and ﬁnd some evidence that changes in capital expenditures are correlated with changes in operating expenditures, suggesting that some of these effects may be attributable to operating expenditures. We ﬁnd similar effects of these capital investments on the housing market. While in the short-term these construction projects decrease home prices, the housing market does beneﬁt in the long-term from improvements to the capital stock.</t>
  </si>
  <si>
    <t>Available at SSRN</t>
  </si>
  <si>
    <t>The Eﬀect of Increased Funding on Student Achievement: Evidence From Texas’s Small District Adjustment</t>
  </si>
  <si>
    <t>Delayed Benefits: Effects of California School District Bond Elections on Achievement by Socioeconomic Status</t>
  </si>
  <si>
    <t>Table 4</t>
  </si>
  <si>
    <t>Table 4 column 3 6 Years after election // plus calculations</t>
  </si>
  <si>
    <t>Journal of Econometrics</t>
  </si>
  <si>
    <t>Title I</t>
  </si>
  <si>
    <t>Does Title I Increase Spending and Improve Performance? Evidence from New York City</t>
  </si>
  <si>
    <t>elementary 1996-97 through 2003-04 // high school 2001-02 through 2003-04</t>
  </si>
  <si>
    <t>1999-2013</t>
  </si>
  <si>
    <t>pg. 28, plus calculations in CapitalProjectsYrXYr sheet</t>
  </si>
  <si>
    <t>capital</t>
  </si>
  <si>
    <t>Table 2 All Districts Low-SES API</t>
  </si>
  <si>
    <t>The Eﬀect of Education Spending on Student Achievement: Evidence from Property Values and School Finance Rules</t>
  </si>
  <si>
    <t>2009-2013</t>
  </si>
  <si>
    <t>JMP, on personal site</t>
  </si>
  <si>
    <t>Table 2</t>
  </si>
  <si>
    <t>pg. 30</t>
  </si>
  <si>
    <t>An integrated assessment of the effects of Title I on school behavior, resources, and student achievement</t>
  </si>
  <si>
    <t>2001-02</t>
  </si>
  <si>
    <t>Figure 6 LI cov. Adjusted</t>
  </si>
  <si>
    <t>Table 1 5th grade MATH z-score</t>
  </si>
  <si>
    <t>Figure 9 A. MATH L.I. cov. Adjusted</t>
  </si>
  <si>
    <t>Figure 9 A. READING L.I. cov. Adjusted</t>
  </si>
  <si>
    <t>School Finance Reform and the Distribution of Student Achievement</t>
  </si>
  <si>
    <t>We study the impact of post-1990 school finance reforms, during the so-called “adequacy” era, on absolute and relative spending and achievement in low-income school districts. Using an event study research design that exploits the apparent randomness of reform timing, we show that reforms lead to sharp, immediate, and sustained increases in spending in low-income school districts. Using representative samples from the National Assessment of Educational Progress, we find that reforms cause increases in the achievement of students in these districts, phasing in gradually over the years following the reform. The implied effect of school resources on educational achievement is large.</t>
  </si>
  <si>
    <t>Table 2 Q1</t>
  </si>
  <si>
    <t>Table 2 Expenditures p.p. Q1</t>
  </si>
  <si>
    <t>Table 4 Q1 Mean Total Expenditures</t>
  </si>
  <si>
    <t>Table 5 Q1 Post event x years elapsed</t>
  </si>
  <si>
    <t>2003-2010</t>
  </si>
  <si>
    <t>Table 1 Expenditures (Total) - note: not bottom tercile</t>
  </si>
  <si>
    <t>Table 1 Math (z)</t>
  </si>
  <si>
    <t>2005-2012</t>
  </si>
  <si>
    <t>I study an ongoing state-subsidized program of rebuilding and renovating Ohio’s K-12 public schools and investigate the eﬀect of improved facility quality on student and school district outcomes. The completion of a project increases public school enrollment and district property values. Test scores do not measurably improve upon completion and suﬀer signiﬁcant reductions during construction. The implied willingness to pay for a project is lower than total costs but greater than the cost borne by district residents. While the program led to a narrowing in expenditures across district wealth, I ﬁnd little evidence that it reduced disparities in student outcomes.</t>
  </si>
  <si>
    <t>Table 4 avg. proficiency</t>
  </si>
  <si>
    <t>PPEchange_se</t>
  </si>
  <si>
    <t>PPEchange</t>
  </si>
  <si>
    <t>EstimatedEffect1</t>
  </si>
  <si>
    <t>EstimatedEffect1_SE</t>
  </si>
  <si>
    <t>EstimatedEffect1_N</t>
  </si>
  <si>
    <t>EstimtedEffect1_source</t>
  </si>
  <si>
    <t>EstimatedEffect2</t>
  </si>
  <si>
    <t>EstimatedEffect2_SE</t>
  </si>
  <si>
    <t>EstimatedEffect2_N</t>
  </si>
  <si>
    <t>EstimtedEffect2_source</t>
  </si>
  <si>
    <t>School Spending and Student Outcomes: Evidence from Revenue Limit Elections in Wisconsin</t>
  </si>
  <si>
    <t>Baron</t>
  </si>
  <si>
    <t>operational</t>
  </si>
  <si>
    <t>1996-2015</t>
  </si>
  <si>
    <t>Biasi</t>
  </si>
  <si>
    <t>The Value of School Facility Investment: Evidence from a Dynamic Regression Discontinuity Design</t>
  </si>
  <si>
    <t>Cellini Ferreira Rothstein</t>
  </si>
  <si>
    <t>QJE</t>
  </si>
  <si>
    <t>1987-2006</t>
  </si>
  <si>
    <t>Table II</t>
  </si>
  <si>
    <t>Does Investing in School Capital Infrastructure Improve Student Achievement?</t>
  </si>
  <si>
    <t>Hong Zimmer</t>
  </si>
  <si>
    <t>Table 5</t>
  </si>
  <si>
    <t>1996-2009</t>
  </si>
  <si>
    <t>Within the research community, there is a vigorous debate over whether additional educational expenditures will lead to improved performance of schools. Some of the debate is an outgrowth of the lack of causal knowledge of the impacts of expenditures on student outcomes. To help ﬁll this void, we examine the causal impact of capital expenditures on school district proﬁciency rates in Michigan. For the analysis, we employ a regression discontinuity design where we use the outcomes of bond elections as the forcing variable. Our results provide some evidence that capital expenditures can have positive effects on student proﬁciency levels.</t>
  </si>
  <si>
    <t>Table 3 4th grade reading proficiency, 7th grade reading proficiency</t>
  </si>
  <si>
    <t>Table 1 Avg. bond amount per pupil Total</t>
  </si>
  <si>
    <t>Table 3 Passed a measure Total Expenditures per pupil</t>
  </si>
  <si>
    <t>Lafortune Schonholzer</t>
  </si>
  <si>
    <t>2002-2012</t>
  </si>
  <si>
    <t>Investing in schools: capital spending, facility conditions, and student achievement</t>
  </si>
  <si>
    <t>Martorell Stange McFarlin</t>
  </si>
  <si>
    <t>Journal of Public Economics</t>
  </si>
  <si>
    <t>1994-2011</t>
  </si>
  <si>
    <t>Public investments in repairs, modernization, and construction of schools cost billions. However, little is known about the nature of school facility investments, whether it actually changes the physical condition of public schools, and the subsequent causal impacts on student achievement. We study the achievement effects of nearly 1400 capital campaigns initiated and ﬁnanced by local school districts, comparing districts where school capital bonds were either narrowly approved or defeated by district voters. Overall, we ﬁnd little evidence that these school capital campaigns improve student achievement. Event-study analysis focused on the students actually affected by large campus renovations also generates very precise zero estimates of achievement effects. Thus, U.S. school capital campaigns ﬁnanced by local districts – the predominant method through which facility investments are made – may be a limited tool for realizing substantial gains in student achievement or closing achievement gaps.</t>
  </si>
  <si>
    <t>pg. 14 // plus calculations</t>
  </si>
  <si>
    <t>Neilson Zimmerman</t>
  </si>
  <si>
    <t>Table 6 // plus calculations</t>
  </si>
  <si>
    <t>2004-2010</t>
  </si>
  <si>
    <t>pg 25</t>
  </si>
  <si>
    <t>pg. 27 // plus calculations</t>
  </si>
  <si>
    <t>Table 5 Q5 Post event x years elapsed</t>
  </si>
  <si>
    <t>Any</t>
  </si>
  <si>
    <t>Table 7 column 1 Years Post-Reform</t>
  </si>
  <si>
    <t>Do School Spending Cuts Matter? Evidence from the Great Recession</t>
  </si>
  <si>
    <t>2002-2017</t>
  </si>
  <si>
    <t>Table 1 Per-pupil spending</t>
  </si>
  <si>
    <t>Table 1 Average NAEP Score</t>
  </si>
  <si>
    <t>Educational resources and student achievement: Evidence from the Save Harmless provision in New York State</t>
  </si>
  <si>
    <t>Gigliotti Sorensen</t>
  </si>
  <si>
    <t>A long-standing debate in the economics of education literature is whether increasing educational resources moves the needle on student achievement. Education ﬁnance reformers advocate delivering extra resources to disadvantaged school districts to close academic achievement gaps, but their eﬀorts are subject to criticism from skeptics who believe that extra resources do not actually improve performance. This study leverages variation in per-pupil expenditures from a speciﬁc provision of the state aid formula in New York State that allows districts to maintain prior levels of total state aid even as their student enrollment declines. We uncover achievement gains of approximately 0.047 standard deviations in math and 0.042 standard deviations in English corresponding to $1000 in additional per-pupil spending. This study strengthens the case that school resources matter, and that sustained ﬁnancial investments can help districts maintain and improve quality of public education.</t>
  </si>
  <si>
    <t>2007-2015</t>
  </si>
  <si>
    <t>Table 1</t>
  </si>
  <si>
    <t>Table 1 PPE</t>
  </si>
  <si>
    <t>pg. 175</t>
  </si>
  <si>
    <t>Impact of School Finance Reform on Resource Equalization and Academic Performance: Evidence from Michigan</t>
  </si>
  <si>
    <t>Roy</t>
  </si>
  <si>
    <t>Michigan radically altered its school ﬁnance system in 1994. The new plan, called Proposal A, signiﬁcantly increased state aid to the lowest-spending school districts and limited future increases in spending in the highestspending ones, abolishing local discretion over school spending. I investigate the impact of Proposal A on the distribution of resources and educational outcomes. I analyze the differential effects on the lowest-spending and the highest-spending districts, highlighting the role of local discretion, which has so far been neglected in the literature. I also provide important evidence on the effect of spending on academic performance. Proposal A was quite successful in reducing interdistrict spending disparities. There was also a signiﬁcant positive effect on student performance in the lowest-spending districts as measured in state tests. However, the constraints on future increases in spending may have had a negative effect on student performance in the highest-spending districts.</t>
  </si>
  <si>
    <t>1990-2001</t>
  </si>
  <si>
    <t>Papke</t>
  </si>
  <si>
    <t>The Effects of Changes in Michigan’s School Finance System</t>
  </si>
  <si>
    <t>Education Finance and Policy</t>
  </si>
  <si>
    <t>1991-2004</t>
  </si>
  <si>
    <t>I use district-level panel data from the 1991/92 school year through the 2003/04 school year to study the effects of Proposal A, passed in Michigan in 1994. Proposal A dramatically changed the way schools were funded starting in the 1994/95 school year. I discuss what has happened to the pattern of spending in years before and after the reform, including a discussion of funding equalization. Using the several additional years of data—which include additional periods of substantial funding increases for low-spending districts—and a richer lag structure in an econometric model, I ﬁnd that increases in spending have nontrivial, statistically signiﬁcant effects on math test pass rates. The effects are notably larger for districts with initially poor performance.</t>
  </si>
  <si>
    <t>pg 384</t>
  </si>
  <si>
    <t>2003-2013</t>
  </si>
  <si>
    <t>Table 2 Proposals That Passed Performance Index</t>
  </si>
  <si>
    <t>Education Reform, Redistribution, and Student Achievement: Evidence From the Kentucky Education Reform Act</t>
  </si>
  <si>
    <t>Clark</t>
  </si>
  <si>
    <t>Guryan</t>
  </si>
  <si>
    <t>Does Money Matter? Regression-Discontinuity Estimates from Education Finance Reform in Massachusetts</t>
  </si>
  <si>
    <t>Table V 4th grade, column 4 Math and Reading // calculations</t>
  </si>
  <si>
    <t>Table VI 8th grade, column 4 Math and Reading // calculations</t>
  </si>
  <si>
    <t>Table I</t>
  </si>
  <si>
    <t>pg. 21</t>
  </si>
  <si>
    <t>1986-1997</t>
  </si>
  <si>
    <t>Table 6 Composite Kentucky x post</t>
  </si>
  <si>
    <t>1989-2000</t>
  </si>
  <si>
    <t>Table 2 Overall Mean NAEP scores</t>
  </si>
  <si>
    <t>Table 2 Overall Expenditures p.p.</t>
  </si>
  <si>
    <t>Table 4 Mean Total Expenditures</t>
  </si>
  <si>
    <t>Table 5 column 3 (MATH) ¯AA/1000</t>
  </si>
  <si>
    <t>Table 5 column 1 (READ) ¯AA</t>
  </si>
  <si>
    <t>Table 5 // plus calculations in capital spending work</t>
  </si>
  <si>
    <t>Table 5 (4th GRADE) // plus calculations</t>
  </si>
  <si>
    <t>Table 5 (8th GRADE) // plus calculations</t>
  </si>
  <si>
    <t>Article_keywords</t>
  </si>
  <si>
    <t>student achievement, education ﬁnance, school districts, tax elections</t>
  </si>
  <si>
    <t>State and Local Government, Education and Research Institutions, Labor–Management Relations, Trade Unions, and Collective Bargaining</t>
  </si>
  <si>
    <t>School districts, Capital expenditures, Test scores, Housing prices</t>
  </si>
  <si>
    <t>School ﬁnance; Foundation funding; Rural schools; Texas; Sparsity adjustment.</t>
  </si>
  <si>
    <t>State and Local Government: Health; Education; Welfare; Public Pensions, Analysis of Education, Educational Finance; Financial Aid, Education and Inequality, Education: Government Policy</t>
  </si>
  <si>
    <t>State and federal aid, Rate of return, Educational economics, Grants</t>
  </si>
  <si>
    <t>Economics of education, Capital expenditure, Regression discontinuity design</t>
  </si>
  <si>
    <t>School facilities, School bonds, Student achievement</t>
  </si>
  <si>
    <t>School construction, Education production, Public school enrollment, Home prices</t>
  </si>
  <si>
    <t>K-12 school ﬁnance reform; student achievement</t>
  </si>
  <si>
    <t>school turnaround, School Improvement Grant, student achievement, teacher turnover, regression discontinuity</t>
  </si>
  <si>
    <t>School Improvement Grants in Ohio: Effects on Student Achievement and School Administration</t>
  </si>
  <si>
    <t>EstimatedEffect_lowinc</t>
  </si>
  <si>
    <t>Table 6 column 3 (MATH) ¯AA*Top 3rd poor</t>
  </si>
  <si>
    <t>Table 6 column 1 (READ) ¯AA*Top 3rd poor</t>
  </si>
  <si>
    <t>Study_isprimary</t>
  </si>
  <si>
    <t>Buy the Book? Evidence on the Effect of Textbook Funding on School-Level Achievemen</t>
  </si>
  <si>
    <t>Holden</t>
  </si>
  <si>
    <t>AEJ: Applied</t>
  </si>
  <si>
    <t>2005-2008</t>
  </si>
  <si>
    <t>This paper considers the effect of textbook funding on school-level test performance by using a quasi-experimental setting in the United States. I consider a lawsuit in California that provided a one-time payment of $96.90 per student for textbooks if schools fell below a threshold of academic performance. Exploiting this variation with a regression discontinuity (RD) design, 1 find that textbook funding has significant positive effects on school-level achievement in elementary schools and has a high benefit-per-dollar. In contrast to elementary schools, I find no effect in middle and high schools though these estimates are very imprecise.</t>
  </si>
  <si>
    <t>Jackson Johnson Persico</t>
  </si>
  <si>
    <t>Candelaria Shores</t>
  </si>
  <si>
    <t>Card Payne</t>
  </si>
  <si>
    <t>Hoxby</t>
  </si>
  <si>
    <t>Johnson</t>
  </si>
  <si>
    <t>Hyman</t>
  </si>
  <si>
    <t>Lee Polachek</t>
  </si>
  <si>
    <t>SFR</t>
  </si>
  <si>
    <t>DiD</t>
  </si>
  <si>
    <t>textbook</t>
  </si>
  <si>
    <t>Table 2 Total Expnd. Per Pupil (2012$) Passed</t>
  </si>
  <si>
    <t>Court-Ordered Finance Reforms in the Adequacy Era: Heterogeneous Causal Effects and Sensitivity</t>
  </si>
  <si>
    <t>We provide new evidence about the eﬀect of court-ordered ﬁnance reforms that took place between 1989 and 2010 on per-pupil revenues and graduation rates. We account for heterogeneity in the treated and counterfactual groups to estimate the eﬀect of overturning a state’s ﬁnance system. Seven years after reform, the highest poverty quartile in a treated state experienced an 11.5 percent to 12.1 percent increase in per-pupil spending, and a 6.8 to 11.5 percentage point increase in graduation rates. We subject the model to various sensitivity tests, which provide upper and lower bounds on the estimates. Estimates range, in most cases, from 6 to 12 percentage points for graduation rates.</t>
  </si>
  <si>
    <t>1989-2010</t>
  </si>
  <si>
    <t>Table 2 Graduation rates</t>
  </si>
  <si>
    <t>Table 2 Total revenues</t>
  </si>
  <si>
    <t>Table 5 Full log(Rev/Pupil)</t>
  </si>
  <si>
    <t>Education Economics</t>
  </si>
  <si>
    <t>2003-2008</t>
  </si>
  <si>
    <t>Table 2, 2003-2008 School Year Win Vote</t>
  </si>
  <si>
    <t>Follow the Money</t>
  </si>
  <si>
    <t>Russel Sage Foundation Journal of the Social Sciences</t>
  </si>
  <si>
    <t>The Effects of School Spending on Educational and Economic Outcomes: Evidence from School Finance Reforms</t>
  </si>
  <si>
    <t>Table III, take ln</t>
  </si>
  <si>
    <t>Does Money Matter in the Long Run? Effects of School Spending on Educational Attainment</t>
  </si>
  <si>
    <t>This paper measures the effect of increased primary school spending on students’ college enrollment and completion. Using student-level panel administrative data, I exploit variation in the school funding formula imposed by Michigan’s 1994 school finance reform, Proposal A. Students exposed to $1,000 (10 percent) more spending were 3 percentage points (7 percent) more likely to enroll in college and 2.3 percentage points (11 percent) more likely to earn a postsecondary degree. The effects were concentrated among districts that were urban and suburban, lower poverty, and higher achieving at baseline. Districts targeted the marginal dollar toward schools serving less-poor populations within the district.</t>
  </si>
  <si>
    <t>Table 1 Enrolls in postsecondary school</t>
  </si>
  <si>
    <t>Table 1 Operating expenditure</t>
  </si>
  <si>
    <t>pg 269</t>
  </si>
  <si>
    <t>Since the Coleman Report, many have questioned whether public school spending affects student outcomes. The school ﬁnance reforms that began in the early 1970s and accelerated in the 1980s caused dramatic changes to the structure of K–12 education spending in the United States. To study the effect of these school ﬁnance reform–induced changes in public school spending on long-run adult outcomes, we link school spending and school ﬁnance reform data to detailed, nationally representative data on children born between 1955 and 1985 and followed through 2011. We use the timing of the passage of court-mandated reforms and their associated type of funding formula change as exogenous shifters of school spending, and we compare the adult outcomes of cohorts that were differentially exposed to school ﬁnance reforms, depending on place and year of birth. Event study and instrumental variable models reveal that a 10% increase in per pupil spending each year for all 12 years of public school leads to 0.31 more completed years of education, about 7% higher wages, and a 3.2 percentage point reduction in the annual incidence of adult poverty; effects are much more pronounced for children from low-income families. Exogenous spending increases were associated with notable improvements in measured school inputs, including reductions in student-to-teacher ratios, increases in teacher salaries, and longer school years</t>
  </si>
  <si>
    <t>Table III, Prob(HS Graduate), 2SLS 2 ln(PPE)</t>
  </si>
  <si>
    <t>Table III, Prob(HS Graduate), 2SLS 2 ln(PPE) x low income</t>
  </si>
  <si>
    <t>Table I Per pupil spending All</t>
  </si>
  <si>
    <t>Table I Per pupil spending Low-Income Child</t>
  </si>
  <si>
    <t>Jackson Wigger Xiong b</t>
  </si>
  <si>
    <t>Jackson Wigger Xiong a</t>
  </si>
  <si>
    <t>pg. 65-66</t>
  </si>
  <si>
    <t>Table 2 column 2 (poor child)</t>
  </si>
  <si>
    <t>Table 2 column 1</t>
  </si>
  <si>
    <t>Table A1 per pupil spending average All</t>
  </si>
  <si>
    <t>Table A1 per pupil spending average Poor</t>
  </si>
  <si>
    <t>Kreisman Steinberg a</t>
  </si>
  <si>
    <t>Kreisman Steinberg b</t>
  </si>
  <si>
    <t>Table 8 AA Graduation (column 4)</t>
  </si>
  <si>
    <t>Table 8 AA Graduation x Top 3rd poor</t>
  </si>
  <si>
    <t>Table 1 Graduation rate</t>
  </si>
  <si>
    <t>Table 3 9-12th Grade, Cubic</t>
  </si>
  <si>
    <t>Table 1 Dropout Rate, 9-12th grade</t>
  </si>
  <si>
    <t>Miller a</t>
  </si>
  <si>
    <t>Miller b</t>
  </si>
  <si>
    <t>Table 1 Graduation Rate 4-year Lag</t>
  </si>
  <si>
    <t>Table 4 Log Spending 10th Grade Cohort 1-4 years</t>
  </si>
  <si>
    <t>QJE, AEJ</t>
  </si>
  <si>
    <t>Table 3 Difference post-reform</t>
  </si>
  <si>
    <t>Abott Kogan Lavertu Peskowitz a</t>
  </si>
  <si>
    <t>Abott Kogan Lavertu Peskowitz b</t>
  </si>
  <si>
    <t>The federal School Improvement Grant (SIG) program allocated US$7 billion over nearly a decade in an effort to produce rapid and lasting improvements in schools identified as low performing. In this article, we use a regression discontinuity design to estimate the effect of Ohio’s SIG turnaround efforts on student achievement and school administration. The results indicate that Ohio’s SIG program significantly increased reading and math achievement, with effects in both subjects of up to 0.20 standard deviations in the second year after SIG eligibility identification. Estimates for the third year are somewhat larger, in the range of one quarter of a standard deviation. We provide evidence that these effects were primarily attributable to schools that implemented the SIG Turnaround model. We also show that SIG eligibility had a positive effect on per-pupil spending, but no average effect on administrative outcomes, including staff turnover, the number of staff members in the school, and school closure. These null overall effects mask heterogeneity across SIG models, however. Most notably, Turnaround schools experienced more turnover than they otherwise would have, whereas Transformation schools experienced less.</t>
  </si>
  <si>
    <t>Table 5 Math Year 4 Dynamic model</t>
  </si>
  <si>
    <t>Table 5 Reading Year 4 Dyanic model</t>
  </si>
  <si>
    <t>Table 3 reading score and math schore (z score)</t>
  </si>
  <si>
    <t>Table 8 average years 1-4</t>
  </si>
  <si>
    <t>2009-2014</t>
  </si>
  <si>
    <t>Table 5 FLE 4 log(Rev/Pupil)</t>
  </si>
  <si>
    <t>high</t>
  </si>
  <si>
    <t>Table 7 column 2</t>
  </si>
  <si>
    <t>Table 3 average 1992-2004</t>
  </si>
  <si>
    <t>Table 8 1998-2001 column 2 Reading</t>
  </si>
  <si>
    <t>Table 8 1998-2001 column 1 Math</t>
  </si>
  <si>
    <t>pg 159</t>
  </si>
  <si>
    <t>Footnote 35</t>
  </si>
  <si>
    <t>Table 6 direct expenditure</t>
  </si>
  <si>
    <t>Table 8 graduation rate school fixed effects</t>
  </si>
  <si>
    <t>Cascio Gordon Reber</t>
  </si>
  <si>
    <t>Local Responses to Federal Grants: Evidence from the Introduction of Title I in the South</t>
  </si>
  <si>
    <t>pg. 152</t>
  </si>
  <si>
    <t>Table 5 (elem) and table 9 (middle, HS) population-weight combined into one estimate</t>
  </si>
  <si>
    <t>Figlio</t>
  </si>
  <si>
    <t>Baron b</t>
  </si>
  <si>
    <t>Baron c</t>
  </si>
  <si>
    <t>School Spending, Student Outcomes, Dynamic Regression Discontinuity</t>
  </si>
  <si>
    <t>AEJ: Policy</t>
  </si>
  <si>
    <t>Sociology of Education</t>
  </si>
  <si>
    <t>Contradictory evidence of the relationship between education funding and student achievement could reflect heterogeneous effects by revenue source or student characteristics. This study examines potential heterogeneous effects of a particular type of local revenue—bond funds for capital investments—on achievement by socioeconomic status. Comparing California school districts within a narrow window on either side of the cutoff of voter support required to pass a general obligation bond measure, I use dynamic regression discontinuity models to estimate effects of passing a bond on academic achievement among low- and high-socioeconomic-status (SES) students. Results consistently suggest that passing a bond increases achievement among low- but not high-SES students. However, these benefits for lowSES students are delayed and emerge six years after an election. Effects are larger in low-income districts and in small districts, where benefits of capital investments are experienced by a larger proportion of students</t>
  </si>
  <si>
    <t>Table 2 Total spending per pupil Passed bond measure</t>
  </si>
  <si>
    <t>Table 4 avrage Op. Expenditures PP over 1yr-4yr</t>
  </si>
  <si>
    <t>Table 2 Proposed At Least One Total Expenditures PP</t>
  </si>
  <si>
    <t>School ﬁnance reforms caused some of the most dramatic increases in intergovernmental aid from states to local governments in U.S. history. We examine whether teachers’ unions affected the fraction of reform-induced state aid that passed through to local spending and the allocation of these funds. Districts with strong teachers’ unions increased spending nearly dollar-for-dollar with state aid and spent the funds primarily on teacher compensation. Districts with weak unions used aid primarily for property tax relief and spent remaining funds on hiring new teachers The greater expenditure increases in strong union districts led to larger increases in student achievement.</t>
  </si>
  <si>
    <t>p. 14</t>
  </si>
  <si>
    <t>p. 15</t>
  </si>
  <si>
    <t>Table 1 College Enrollment Rate</t>
  </si>
  <si>
    <t>Table 4 column 3 1-6 years after election // plus calculations</t>
  </si>
  <si>
    <t>Table 5 average 50th percentile first three years</t>
  </si>
  <si>
    <t>pg. 118, specification</t>
  </si>
  <si>
    <t>FirstStage_Fstat</t>
  </si>
  <si>
    <t>FirstStage_Fstat_source</t>
  </si>
  <si>
    <t>Figure 8c</t>
  </si>
  <si>
    <t>Table IV</t>
  </si>
  <si>
    <t>Table 1 construction cost per pupil</t>
  </si>
  <si>
    <t>Figure 3</t>
  </si>
  <si>
    <t>(school construction)</t>
  </si>
  <si>
    <t>Table 8</t>
  </si>
  <si>
    <t>Table 7</t>
  </si>
  <si>
    <t>Table III</t>
  </si>
  <si>
    <t>Figure 9</t>
  </si>
  <si>
    <t>Table 6</t>
  </si>
  <si>
    <t>prose pg. 469</t>
  </si>
  <si>
    <t>Figure 6</t>
  </si>
  <si>
    <t>Table 10</t>
  </si>
  <si>
    <t>FirstStage_Fstat_assigned</t>
  </si>
  <si>
    <t>Table 8 Operations &lt;= 5 yrs linear spec</t>
  </si>
  <si>
    <t>2009-2015</t>
  </si>
  <si>
    <t>Table 9 pass*(high pov)</t>
  </si>
  <si>
    <t>Table 9 pass + pass*(high pov) Math/ELA (SDs)</t>
  </si>
  <si>
    <t>Table 8 &lt;= 5 yrs linear</t>
  </si>
  <si>
    <t>Table 9 pass + pass*(high pov)</t>
  </si>
  <si>
    <t>Table 8 &lt;= 5 yrs Math/ELA (SDs) linear</t>
  </si>
  <si>
    <t>Table 8 &lt;= 5yrs Grad. Rate linear</t>
  </si>
  <si>
    <t>Table 2 passed grad. Rate (4yr)</t>
  </si>
  <si>
    <t>Table 9 pass + pass*(high pov) Grad. Rate</t>
  </si>
  <si>
    <t>Table 4 Op. Expenditures PP 1 yr</t>
  </si>
  <si>
    <t>Prose page 22-3, then depreciation in capitalproj_main.do reading in CapitalYrXYr sheet</t>
  </si>
  <si>
    <t>School ﬁnance reforms caused some of the most dramatic increases in intergovernmental aid from states to local governments in U.S. history. We examine whether teachers’ unions affected the fraction of reform-induced state aid that passed through to local spending and the allocation of these funds. Districts with strong teachers’ unions increased spending nearly dollar-for-dollar with state aid and spent the funds primarily on teacher compensation. Districts with weak unions used aid primarily for property tax relief and spent remaining funds on hiring new teachers. The greater expenditure increases in strong union districts led to larger increases in student achievement.</t>
  </si>
  <si>
    <t>Carlson Lavertu</t>
  </si>
  <si>
    <t>Table VII, then calculations in capitalproj_main.do</t>
  </si>
  <si>
    <t>Downes, Dye, McGuire</t>
  </si>
  <si>
    <t>All school finance equalizations are not created equal</t>
  </si>
  <si>
    <t>Van der Klaauw</t>
  </si>
  <si>
    <t>Do limits matter? Evidence on the effects of tax limitations on student performance</t>
  </si>
  <si>
    <t>Did the “tax revolt” reduce school performance?</t>
  </si>
  <si>
    <t>Breaking the link between poverty and low student achievement: An evaluation of Title I</t>
  </si>
  <si>
    <t>Table 7, population weighted calculation in  tab</t>
  </si>
  <si>
    <t>1960-70</t>
  </si>
  <si>
    <t>Prose page 249, then depreciation in capitalproj_main.do reading in CapitalYrXYr sheet</t>
  </si>
  <si>
    <t>Table 3 note, then depreciation in capitalproj_main.do reading in CapitalYrXYr sheet</t>
  </si>
  <si>
    <t>Table 3 column 2, then calculations in capitalproj_main.do</t>
  </si>
  <si>
    <t>Table 4 PPE Math</t>
  </si>
  <si>
    <t>Table 4 PPE English</t>
  </si>
  <si>
    <t>Table 1, adjusted in capitalproj_main.do</t>
  </si>
  <si>
    <t>Table 4 columns 1 and 2, 6 Yr Completion Exposure // plus calculations in capitalproj_main.do</t>
  </si>
  <si>
    <t>Table 4 columns 3 and 4, 6 Yr Completion Exposure // plus calculations in capitalproj_main.do</t>
  </si>
  <si>
    <t>Table 2 column 4</t>
  </si>
  <si>
    <t>Table 4 column 4 (preferred), Enroll in postsecondary</t>
  </si>
  <si>
    <t>Table 5 Per pupil total expenditure average 1993, 1997</t>
  </si>
  <si>
    <t>Table 7 math</t>
  </si>
  <si>
    <t>Table 7 reading</t>
  </si>
  <si>
    <t>Table 5 Direct expenditure</t>
  </si>
  <si>
    <t>Article_Authors2</t>
  </si>
  <si>
    <t>Jackson Wigger Xiong</t>
  </si>
  <si>
    <t>made up for pos in table</t>
  </si>
  <si>
    <t>Title I funding has been the largest federal program of K–12 education for the past fifty years, the objective being to eliminate the educational disadvantage associated with poverty. I provide new evidence on the longterm effects of school spending from Title I on children’s educational and adult economic outcomes. To study effects of Title I, I link school district spending and administrative data on Title I funding to nationally representative data on children born between 1950 and 1977 and followed through 2011. Models include controls for birth cohort and school district fixed effects, childhood family–neighborhood characteristics, and other policies. I find that increases in Title I funding are significantly related to increases in educational attainment, high school graduation rates, higher earnings and work hours, reductions in grade repetition, school suspension or expulsion, incarceration, and reductions in the annual incidence of poverty in adulthood; effects on educational outcomes are more pronounced for poor children.</t>
  </si>
  <si>
    <t>This paper studies the effect of school ﬁnance reforms on the distribution of school spending across richer and poorer districts, and the consequences of spending equalization for the relative test performance of students from different family backgrounds. We ﬁnd that states where the school ﬁnance system was declared unconstitutional in the 1980s increased the relative funding of low-income districts. Increases in the amount of state aid available to poorer districts led to increases in the spending of these districts, narrowing the spending gap between richer and poorer districts. Using micro samples of SAT scores from this same period, we then test whether changes in spending inequality affect the gap in achievement between different family background groups. We ﬁnd evidence that equalization of spending leads to a narrowing of test score outcomes across family background groups. © 2002 Elsevier Science B.V. All rights reserved.</t>
  </si>
  <si>
    <t>This paper estimates the causal effect of equalizing revenues across public school districts on students’ intergenerational mobility. I exploit differences in exposure to equalization across seven cohorts of students in 20 US states, generated by 13 state-level school finance reforms passed between 1980 and 2004. Since these reforms create incentives for households to sort across districts and this sorting affects property values, post-reform revenues are endogenous to an extent that varies across states. I address this issue with a simulated instruments approach, which uses newly collected data on states’ funding formulas to simulate revenues in the absence of sorting. I find that equalization has a large effect on mobility of low-income students, with no significant changes for high-income students. Reductions in the gaps in inputs (such as the number of teachers) and in college attendance between low-income and high-income districts are likely channels behind this effect.</t>
  </si>
  <si>
    <t>School Finance Equalization Increases Intergenerational Mobility: Evidence from a Simulated-Instruments Approach</t>
  </si>
  <si>
    <t>NBER WP</t>
  </si>
  <si>
    <t>Baselines pg 147 plus population-weight in calc tab</t>
  </si>
  <si>
    <t>Years_Expose</t>
  </si>
  <si>
    <t>Table 7 // plus calculations</t>
  </si>
  <si>
    <t>School Improvement Grant</t>
  </si>
  <si>
    <t>We use close tax elections to estimate the impact of school district funding increases on operational spending and student outcomes across seven states. Districts with passing levies directed new revenue toward support services and instructor salaries but did not increase teacher staﬃng levels. These districts eventually realized gains in student achievement and attainment. Our preferred estimates imply that increasing operational spending by $1000 per pupil increased Test scores by approximately 0.15 of a standard deviation and graduation rates by approximately 9 percentage points. There is some evidence of diminishing returns, as these effects are driven by districts below the median in spending per pupil. Based on research linking academic outcomes to earnings, we conclude that these spending increases were likely cost-effective.</t>
  </si>
  <si>
    <t>Test scores</t>
  </si>
  <si>
    <t>Table 2 passed SEDA Test scores (SDs)</t>
  </si>
  <si>
    <t>Despite extensive public infrastructure spending, surprisingly little is known about its economic return. In this paper, we estimate the value of school facility investments using housing markets: standard models of local public goods imply that school districts should spend up to the point where marginal increases would have zero effect on local housing prices. Our research design isolates exogenous variation in investments by comparing school districts where referenda on bond issues targeted to fund capital expenditures passed and failed by narrow margins. We extend this traditional regression discontinuity approach to identify the dynamic treatment effects of bond authorization on local housing prices, student achievement, and district composition. Our results indicate that California school districts underinvest in school facilities: passing a referendum causes immediate, sizable increases in home prices, implying a willingness to pay on the part of marginal homebuyers of $1.50 or more for each $1 of capital spending. These effects do not appear to be driven by changes in the income or racial composition of homeowners, and the impact on Test scores appears to explain only a small portion of the total housing price effect.</t>
  </si>
  <si>
    <t>The Kentucky Education Reform Act (KERA), implemented in 1990, is one of the most ambitious and influential education reform policies ever attempted by any state. KERA’s main components include a new funding system to correct large financial disparities between school districts, curriculum revision and standardization, and increased school and district accountability. In this paper I explore KERA’s effects on school spending and student achievement. I find that KERA did successfully equalize per-pupil expenditures across rich and poor districts and that this equalization has been sustained throughout the decade since KERA’s passage. KERA’s effects on student achievement have been more modest. Black students in Kentucky have experienced modest test score gains since KERA’s implementation, but the scores of white students have remained unchanged relative to their peers in surrounding states. I also find no evidence that KERA narrowed the gap in Test scores between rich and poor districts. Instrumental variables estimates suggest the increased spending induced by KERA did not improve Test scores.</t>
  </si>
  <si>
    <t>During the Great Recession, national public school per-pupil spending fell by roughly seven percent, and persisted beyond the recovery. The impact of such large and sustained education funding cuts is not well understood. To examine this, ﬁrst, we document that the recessionary drop in spending coincided with the end of decades-long national growth in both Test scores and college-going. Next, we show that this stalled educational progress was particularly pronounced in states that experienced larger recessionary budget cuts for plausibly exogenous reasons. To isolate budget cuts that were unrelated to (a) other ill-effects of the recession or (b) endogenous state policies, we use states’ historical reliance on state-appropriated funds (which are more sensitive to the business cycle) to fund public schools interacted with the timing of the recession as instruments for reductions in school spending. Cohorts exposed to these spending cuts had lower Test scores and lower college-going rates. The spending cuts led to larger test score gaps by income and race.</t>
  </si>
  <si>
    <t>We examine the effects of Title I on school behavior, resources, and academic performance using a rich set of school ﬁnance and student-level achievement data from one large urban school district using a regression discontinuity design. We ﬁnd that Title I eligibility raises Federal revenues of schools by about $460 per student. This is partially offset by decreases in revenues from state categorical aid grants, so that the net increase to schools is about $360 per student. We ﬁnd no impact on overall school-level Test scores, but also no impact among the subgroups of students most likely to be affected by Title I. A novel ﬁnding is that schools appear to respond to the incentives embedded in the Title I allocation process by manipulating the fraction of their students signed up for free lunch to secure more Federal funds.</t>
  </si>
  <si>
    <t>Opportunities to estimate the causal effect of school spending on student achievement are infrequent and have been based, almost entirely, on variation in spending from large school finance reforms. Property values also affect school spending through both local property tax revenue and the level of state aid provided to each school district. However, little is known about the effect property values have on student achievement through their impact on school revenue. In this paper, I estimate the effect of education spending on district-level student outcomes in 24 states by leveraging changes in revenue driven by property value variation. I interact state-level changes in property values with fixed school finance formulas that measure how state aid and local revenue respond to those changes to create a simulated instrument for school spending. By collecting administrative data on property values for over 7,000 school districts, I am able to measure a leave-one-out mean change in property values for school districts in each state. The instrument is highly predictive of changes in revenue and spending. My estimates suggest that a 10 percent increase in spending improves graduation rates by 2.1 to 4.4 percentage points and student Test scores by 0.05 to 0.09 standard deviations. These results suggest that market variation in property values affects student outcomes through existing school finance formulas.</t>
  </si>
  <si>
    <t>School Finance; High School Completion; Test scores; Property Values</t>
  </si>
  <si>
    <t>This paper provides new evidence on the effect of elementary and middle school construction projects on home prices, academic achievement, and school enrollment. Combining the staggered implementation of a comprehensive school construction project in a poor urban district with panel data on student Test scores and neighborhoods of residence, we ﬁnd that, by six years after building occupancy, school construction increases reading scores by 0.15 standard deviations relative to the year before building occupancy. We do not observe similar effects for math scores. School construction raised home prices in affected neighborhoods by roughly 10%, and led to increased public school enrollment.</t>
  </si>
  <si>
    <t>The effect of school construction on Test scores, school enrollment, and home prices</t>
  </si>
  <si>
    <t>Since its inception as part of the 1965 Elementary and Secondary Education Act (ESEA), Title I has provided the largest amount of federal funding aimed at improving the academic achievement of poor children. In this paper, we examine the impact of Title I on school spending and school performance, using New York City public school data. Based on a regression discontinuity design (RD) with panel data, and including separate analyses for elementary/middle and high schools, we estimate local average treatment effects of Title I.
Title I provides additional funding for schools serving high concentrations of poor children, but there are few curricular or programmatic constraints. Unfortunately it is possible that Title I funds supplant state or local funds, resulting in muted net impacts on spending and student outcomes. At the same time, the success of Title I in improving Test scores offers important insight into the effectiveness of school-based compensatory funding in general, such as weighted student funding within districts or state compensatory aid across districts.
Overall, the results indicate that Title I changes the mix of spending, enabling high schools to significantly increase the amount of money they spend on direct services to students and to improve their pupil-teacher ratios (while reducing experienced teachers). Elementary and middle schools do not increase spending as much, which is consistent with our finding that state compensatory education funds may be supplanting some Title I funding in schools. Since schools just below the Title I cutoff are similar to those just above the cutoff, this finding may be an equitable, albeit unintended result.
Finally, additional Title I spending does not improve the achievement of students and may even reduce school-wide average Test scores in elementary and middle schools. These effects for both spending and scores seem to increase with the length of time schools are Title I eligible and to be stronger for ones that are always Title I eligible compared to those that go in and out of eligibility.</t>
  </si>
  <si>
    <t>School ﬁnance reform, the distribution of school spending, and the distribution of student Test scores</t>
  </si>
  <si>
    <t>Test proficiency rates</t>
  </si>
  <si>
    <t>We analyze the effects of the introduction of Title I of the 1965 Elementary and Secondary Education Act, a large federal grants program designed to increase poor students' educational services and achievement. We focus on the South, the poorest region of the country. Title I increased school spending by $0.50 on the dollar in the average southern school district and by more in districts with less ability to offset grants through local tax reductions. Title I-induced increases in school budgets appear to have reduced high school High school dropout of whites, but not blacks.</t>
  </si>
  <si>
    <t>High school dropout</t>
  </si>
  <si>
    <t>We leverage an obscure set of rules in Texas’s school funding formula granting districts additional revenue as a function of size and sparsity. We use variation from kinks and discontinuities in the formula to ask how districts spend additional discretionary funds and whether these improve student outcomes. We find that they do. An additional $1,000 in base funding leads to a 0.1 s.d. increase in ELA scores, a 0.08 s.d. increase in math, a one percentage point decrease in High school dropout (25%), and 6 percentage point increase in college enrollment. We show that gains are concentrated among poorer and minority districts, and accumulate in later grades due to increased exposure. An analysis of budget allocations reveals that additional funding only marginally affects budget shares (e.g. teaching vs. administration) with a very small shift away from direct instruction. Implications for policy are discussed.</t>
  </si>
  <si>
    <t>This paper analyzes how changes in school expenditures affect High school dropout based on data from 466 school districts in New York during the 2003/04 to the 2007/08 school years. Past traditional regression approaches show mixed results in part because school expenditures are likely endogenous, so that one cannot disentangle cause and effect. The regression discontinuity design used in this study isolates exogenous variation in school expenditures per pupil by comparing school districts where budget referenda passed and failed by narrow margins. The results indicate that increases in school expenditures reduce New York State High school dropout.</t>
  </si>
  <si>
    <t>Do school budgets matter?The effect of budget referenda on student High school dropout</t>
  </si>
  <si>
    <t>High school graduation</t>
  </si>
  <si>
    <t>This study examines the impact of school spending on student outcomes. State-imposed revenue limits cap the total amount of revenue that a school district in Wisconsin can raise, unless the district holds a local referendum asking voters to exceed the cap. Importantly, Wisconsin law requires districts to hold separate referenda for operational and capital expenditures, which allows for estimating their independent effects. Leveraging close elections in a dynamic regression discontinuity framework, I ﬁnd that increases in operational spending have substantial positive effects on Test scores, High school dropout, and College enrollment, but additional capital expenditures have little impact.</t>
  </si>
  <si>
    <t>College enrollment</t>
  </si>
  <si>
    <t>Test score gaps</t>
  </si>
  <si>
    <t>Income mobility</t>
  </si>
  <si>
    <t>Years of education, Wages, Poverty</t>
  </si>
  <si>
    <t>Wages, Poverty</t>
  </si>
  <si>
    <t>made up</t>
  </si>
  <si>
    <t>Prose_policyondollars</t>
  </si>
  <si>
    <t>Prose_outcome</t>
  </si>
  <si>
    <t>0.023: Table 6 Composite, Kentucky x post model (3)</t>
  </si>
  <si>
    <t>Table 3 // plus calculations</t>
  </si>
  <si>
    <t>this paper doesn’t specify, and they translate effects into per-\\$1000 but the OH program was for both new construction and renovations</t>
  </si>
  <si>
    <t>for the three years of data they have more detailed spending, percent new building is about 34\\%</t>
  </si>
  <si>
    <t>prosecapital_ambiguous</t>
  </si>
  <si>
    <t>prosecapital_currentdep</t>
  </si>
  <si>
    <t xml:space="preserve"> \`\`Anecdotally, bonds are frequently used to build new permanent classrooms that replace temporary buildings (e.g., Sebastian (2006)), although repair, maintenance, and modernization are common uses as well' (220) // Table 1 average amount per pupil is of smaller magnitude than full-building construction</t>
  </si>
  <si>
    <t xml:space="preserve"> \`\`I corresponded with an OSFC employee who reported that about 60-65\\% of projects are new facilities'' (6) //  note an average construction cost per pupil = \\$23765</t>
  </si>
  <si>
    <t xml:space="preserve"> \`\`typical capital campaigns deliver only modest facility improvements for the average student'' (14) //  \`\`evidence is stronger for the claim that capital campaigns increase exposure to renovated schools'' (20)</t>
  </si>
  <si>
    <t xml:space="preserve"> \`\`Of 42 school buildings, 12 had been rebuild completely by 2010, and 18 had been significantly renovated…school renovations were generally substantial, incurring costs similar to those of new construction'' (20)</t>
  </si>
  <si>
    <t>looks at CA bonds, which  \`\`can be used only for construction, rehabilitation, equipping school facilities, or acquisition/lease of real property for school facilities'' (113)</t>
  </si>
  <si>
    <t>Poorest 25\% (Table 3)</t>
  </si>
  <si>
    <t>tercile of poverty (economically disadvantaged) (Table 6)</t>
  </si>
  <si>
    <t>prose_deflowinc</t>
  </si>
  <si>
    <t xml:space="preserve"> \`\`compare spending and educational outcomes between districts that are above or below our sample median in terms of poverty rates among 5–17-year-olds (according to the American Community Survey)'' (9)</t>
  </si>
  <si>
    <t xml:space="preserve"> \`\`I classify a school district as having an initially-high share of economically disadvantaged students if its share falls above the median of the Wisconsin 2000-01 school district distribution (the earliest year this variable is made publicly available).'' (18)</t>
  </si>
  <si>
    <t xml:space="preserve"> \`\`We separate the effects of SFRs by within-state 1980 income terciles because reforms were designed to differentially impact state aid for low- and high-income districts, with the goal of equalizing school funding'' (478)</t>
  </si>
  <si>
    <t xml:space="preserve"> \`\`state-specific poverty quartiles, defined using free lunch eligibility status'' (39)</t>
  </si>
  <si>
    <t xml:space="preserve"> \`\`…a child is defined as low income if parental family income falls below two times the poverty line for any year during childhood'' (165)</t>
  </si>
  <si>
    <t xml:space="preserve"> \`\`bottom or top quintile, respectively, of the state district-level income distribution'' (Table 5)</t>
  </si>
  <si>
    <t xml:space="preserve"> \`\`The CDE defines low-SES students as those who are eligible for free or reduced-price lunch \emph{or} whose parents both have less than a high school diploma…I refer to the distinction as SES throughout the article'' (114)</t>
  </si>
  <si>
    <t>PPE_Lidollarsdiff</t>
  </si>
  <si>
    <t>PPEchange_senslow</t>
  </si>
  <si>
    <t>PPEchange_senshigh</t>
  </si>
  <si>
    <t xml:space="preserve"> \`\`One-time increase in funding of \\$96.90 per student'' (pg. 102)</t>
  </si>
  <si>
    <t>0.0394: Table 5 Average score (0.15) and Table 9 middle school Average score (-0.07) and high school Average score (-0.06) combined with population-weighting, standardized (extrapolate from \`\`…corresponds to about 0.07 student-level standard deviations'' (pg. 102))</t>
  </si>
  <si>
    <t>JJ (2019) pg. 332</t>
  </si>
  <si>
    <t>EstimatedEffect1_SEwinpoplow</t>
  </si>
  <si>
    <t>EstimatedEffect1_SEwinpophigh</t>
  </si>
  <si>
    <t>EstimatedEffect1_SEacrosspoplow</t>
  </si>
  <si>
    <t>EstimatedEffect1_SEacrosspophigh</t>
  </si>
  <si>
    <t>EstimatedEffect2_SEwinpoplow</t>
  </si>
  <si>
    <t>EstimatedEffect2_SEwinpophigh</t>
  </si>
  <si>
    <t>EstimatedEffect2_SEacrosspoplow</t>
  </si>
  <si>
    <t>EstimatedEffect2_SEacrosspophigh</t>
  </si>
  <si>
    <t>\\$417 (2012\\$): Table 8 Expend. P.P. Operations, $\leq 5yrs$, Bandwidth $+ / - 10$</t>
  </si>
  <si>
    <t>\\$498 (2015\\$): Table 2 Current Expenditures, State Aid, Expanded controls Yes</t>
  </si>
  <si>
    <t>0.007: Table 7 All Districts Years postreform, multiply by 4 (years)</t>
  </si>
  <si>
    <t>\\$795.02 (2010\\$): .1xbaseline (Table 2 Weighted Mean Total revenues)</t>
  </si>
  <si>
    <t>0.197: Table 5, Full log(Rev/Pupil), standardized (Table 2, Graduation rates)</t>
  </si>
  <si>
    <t>0.221, 0.171: Table 5 Dynamic model SIG eligibility Year 4 of SIG, average Reading and Math</t>
  </si>
  <si>
    <t>\\$100 (2009\\$):\`\`each additional \\$100 increase in annual current expenditure per pupil…'' (pg. 152)</t>
  </si>
  <si>
    <t>-3.46, 0.66: Table 7 $\Delta$ White and Black high school dropout (reverse sign), population weighted (0.9/0.1) and translated to SD units based on baseline (pg 147, population-weighted)</t>
  </si>
  <si>
    <t>\\$1094.28 (2001\\$): Table 3 Current expenditures per pupil Post-reform (1=yes)</t>
  </si>
  <si>
    <t>0.0468, 0.042: Table 4 PPE Math and Reading</t>
  </si>
  <si>
    <t>\\$23740.4 (2010\\$): Table 1 Construction Cost Per Pupil Total, depreciated over 36.875 (weighted between 15 and 50 based on \`\`60-65\% of projects are new facilities'' (6), averaged across first 6 years</t>
  </si>
  <si>
    <t>1.266, -1.442: Table 4 6+ yr. Completion Exposure Math and Reading, standardized (baseline Avg. Proficiency Table 4)</t>
  </si>
  <si>
    <t>2.13, 1.44: Table 5 4th7th proficiency Relative year 6, standardized based on Table 3 proficiency baseline</t>
  </si>
  <si>
    <t>0.03: Table 4 model (4) Enroll in postsecondary schooling, standardized (baseline Table 1 All districts and cohorts Enrolls in postsecondary school)</t>
  </si>
  <si>
    <t>\\$480 (2000\\$): Table I All Per pupil spending (avg., ages 5-17) (\\$4,800) x0.1</t>
  </si>
  <si>
    <t>-0.14: Table 7 3 years after, to student-level SD units based on footnote 34</t>
  </si>
  <si>
    <t>\\$1000 (2011\\$): specification, abstract</t>
  </si>
  <si>
    <t>0.097, 0.077: Table 5 Reading and Math</t>
  </si>
  <si>
    <t>\\$907 (2013\\$): Table 4 Mean Total exenditures</t>
  </si>
  <si>
    <t>-0.1837: Table 3 9th-12th Grade Cubic, standardized based on baseline dropout rate Table 1 Mean Dropout Rate 9-12th Grade</t>
  </si>
  <si>
    <t>0.016, 0.03: Table 5 Standardized Test Scores 6 years after bond passage Reading and Math</t>
  </si>
  <si>
    <t>\\$169.40 (2018\\$): Table 2 (percent change) times baseline spend by authors' calculations (\\$16939.79)</t>
  </si>
  <si>
    <t>\\$1371.9 (2013\\$): specification, 0.1 times baseline spend \\$13,719.24 (pg. 30)</t>
  </si>
  <si>
    <t>0.775, 0.879, 0.929, 0.477: Table 5 4th Grade Math and Reading and 8th Grade Math and Reading, subject-combined then precision-weighted across grades</t>
  </si>
  <si>
    <t>0.384: Table 4 10th Grade Cohort 1-4 years, standardized based on Table 1 Graduation Rate 4-year lag</t>
  </si>
  <si>
    <t>0.153, 0.031: Table 6 \$&gt;5\$ Reading and Math, FE</t>
  </si>
  <si>
    <t>\\$684.75 (2004\\$): 0.1 times baseline spend \\$6847.5 (Table 3 Average Expenditure per Pupil 1992-2004)</t>
  </si>
  <si>
    <t>36.77: Table 7 Fixed Effects-Instrumental Variables log(average eral per pupil expend), standardized based on baseline Table 5 average 50th percentile first three years</t>
  </si>
  <si>
    <t>0.057, 0.061: Table 8 Instrumental variables regressions Lagged spending 1998-2001 Reading and Math, standardized based on baseline SE (Footnote 35)</t>
  </si>
  <si>
    <t>\\$391.7 (2003\\$): Table 6 Direct Expenditure Title I model (2)</t>
  </si>
  <si>
    <t>\\$284.3 (2003\\$): Table 5: Direct Expenditure Title I model (2)</t>
  </si>
  <si>
    <t>-0.011, -.031: Table 7 Title I Math and Reading</t>
  </si>
  <si>
    <t>\\$4000 (2013\\$): \`\`Capital expenditure and capital stock variables in Panels A and B are listed in \\$1000s'' (Table 3 note) x4 (years), depreciated 15 years averaged over first 3</t>
  </si>
  <si>
    <t xml:space="preserve">\\$8123 (2000\\$): Table 1 Avg. bond amount per pupil, depreciated over 26.9 years (weighted between 15 and 50 based on Table 4 Passed a measure New building) averaged over 6 years </t>
  </si>
  <si>
    <t>3.59: Table 8 Graduation Rate Title I model (2), standardized based on avg. national baseline graduation rate of 0.77</t>
  </si>
  <si>
    <t>PPE_baselinedollarsyear</t>
  </si>
  <si>
    <t>Kogan et al. (2017) pg 384</t>
  </si>
  <si>
    <t>PPE_baseline_notinpaper</t>
  </si>
  <si>
    <t>Table 1 per-pupil current expenditure, average across 1961, 1964</t>
  </si>
  <si>
    <t>Table 2 Current Expenditure per Pupil Level (2001 dollars)</t>
  </si>
  <si>
    <t>Table 1, sum Capital Expenditures PP and Operating Expenditures PP</t>
  </si>
  <si>
    <t>from Coniln &amp; Thompson (Table 1, sum Capital and Operating) which studies same program over same years</t>
  </si>
  <si>
    <t>Table 1, average mean per-pupil spending 1990-1992</t>
  </si>
  <si>
    <t>downloaded data from CCD</t>
  </si>
  <si>
    <t>Table 2 Passed, sum Instructional spending per student with Capital outlay per student</t>
  </si>
  <si>
    <t>Table 1Title I, sum of 2001 Title I exp. Per capita + Total direct services per capita + State compensatory aid per capita</t>
  </si>
  <si>
    <t>downloaded data from CCD for 2001-2009 (primary years of construction, CPI adjusted in code)</t>
  </si>
  <si>
    <t>Table 1 average across spending reported for select districts in 1994</t>
  </si>
  <si>
    <t>Table 1 Total Spending 1996-97</t>
  </si>
  <si>
    <t>Table 8 overall mean</t>
  </si>
  <si>
    <t>0.004: Table 8 Post event x years elapsed times 4 (years)</t>
  </si>
  <si>
    <t>EstimatedEffect_nonlowinc</t>
  </si>
  <si>
    <t>Table I Per pupil spending Nonpoor Child</t>
  </si>
  <si>
    <t>Table A1 per pupil spending average Nonpoor</t>
  </si>
  <si>
    <t>Table 2 Expenditures p.p. Q5</t>
  </si>
  <si>
    <t>Table 4 Q1-Q5 Mean Total expenditures</t>
  </si>
  <si>
    <t>Table 2 Q5</t>
  </si>
  <si>
    <t>Table 8 AA Graduation (column 5)</t>
  </si>
  <si>
    <t>Table 1 Graudation rate</t>
  </si>
  <si>
    <t>Table 6 column 3 (MATH) ¯AA/1000</t>
  </si>
  <si>
    <t>Table 6 column 1 (READ) ¯AA/1000</t>
  </si>
  <si>
    <t>Table 2 column 2 (nonpoor child)</t>
  </si>
  <si>
    <t>Take national estimate (not from paper)</t>
  </si>
  <si>
    <t>Table III, Prob(HS Graduate), 2SLS 2 ln(PPE) x Nonpoor</t>
  </si>
  <si>
    <t>Table 5 FLE 1 log(Rev/Pupil)</t>
  </si>
  <si>
    <t>Table 7 column 5 Top Tercile Years Postreform, times 4 (years)</t>
  </si>
  <si>
    <t>Table 9 Pass + pass*(high pov)</t>
  </si>
  <si>
    <t>Table 9 Pass</t>
  </si>
  <si>
    <t>Table 9 pass Grad. Rate</t>
  </si>
  <si>
    <t>OH capital subsidy program</t>
  </si>
  <si>
    <t>NYS aid formula</t>
  </si>
  <si>
    <t>MI referenda 1996-2009</t>
  </si>
  <si>
    <t>MI Proposal A</t>
  </si>
  <si>
    <t>TX small district adjustment</t>
  </si>
  <si>
    <t>NYS budget referenda fail</t>
  </si>
  <si>
    <t>TX capital bond passage</t>
  </si>
  <si>
    <t>Program_studied</t>
  </si>
  <si>
    <t>0.039, 0.032, -0.034, -0.026: Table V and Table VI Math and Reading, subject-combined and standardized (assumed student-level SD of 100), then precision-weighted across grades</t>
  </si>
  <si>
    <t>Table 6 column (2), Enroll in postsecondary</t>
  </si>
  <si>
    <t>Table 6 column (1), Enroll in postsecondary</t>
  </si>
  <si>
    <t xml:space="preserve"> \`\`districts with below-median 1995 district-level fraction receiving free lunch'' (276)</t>
  </si>
  <si>
    <t>PPEchange_isthous</t>
  </si>
  <si>
    <t>PPE_policychange</t>
  </si>
  <si>
    <t>PPE_policychangesource</t>
  </si>
  <si>
    <t>"The average effect on treated districts is an increase of approximately $200 dollars per pupil per 1% decline in enrollment" // "The mean percentage change in observations with declining enrollment was -8.17%" (169)</t>
  </si>
  <si>
    <t>"Among districts that received Overburden Aid in 1996, the average district got $179 per pupil" (8)</t>
  </si>
  <si>
    <t>PPE_policychangeAmbiguous</t>
  </si>
  <si>
    <t>exact estiamtes provided by author: Figure 2, panel c Average 10th Grade Math Score, cubic spec, 4 years post election, divided by reported student-level SD</t>
  </si>
  <si>
    <t xml:space="preserve"> \`\`I classify a school district as having an initially-high share of economically disadvantaged students if its share falls above the median of the Wisconsin 2000-01 school district distribution (the earliest year this variable is made publicly available).'' (footnote 37)</t>
  </si>
  <si>
    <t>exact estimates provided by author: average years 1 through 4, Figure 1 panel (b), Total Operational Expenditures</t>
  </si>
  <si>
    <t>table 4 estimate, op. expenditures pp</t>
  </si>
  <si>
    <t>3.084: Figure 2 Panel (c) Average 10th Grade Math Score Year 4 relative to election (exact estimates provided by author), divided by student-level SDs (43.2, footnote 28)</t>
  </si>
  <si>
    <t>\\$4400 (2010\\$): \`\`the median per-pupil bond campaign approved in Wisconsin is only approximately \\$4,400 per pupil'' (24), depreciated over 15 years and averaged over first 6 years</t>
  </si>
  <si>
    <t>exact estimates provided by author: Figure 2, panel (d) Log(Postsecondary Enrollment) 10 Years relative to election (reported as % increase, so multiply by baseline)</t>
  </si>
  <si>
    <t>Figure B.10 Postsecondary Enrollment 10 years relative to election, initially high share</t>
  </si>
  <si>
    <t>point 4 in Baron doc</t>
  </si>
  <si>
    <t>exact estimates provided by author</t>
  </si>
  <si>
    <t>0.031xyear - 0.016, 0.027xyear - 0.004: Table 3 2SLS New School + Newschool \*Trend, Math and English Language Arts, 6 years</t>
  </si>
  <si>
    <t>\\$346 (2010\\$): Figure 1 (b) Total Operational Expenditures, averaged across 1-4yrs Relative to the Election (exact estimates provided by author)</t>
  </si>
  <si>
    <t>\\$289.743 (2010\\$): Figure 1 (b) Total Operational Expenditures, averaged across 1-10yrs Relative to the Election (exact estimates provided by author)</t>
  </si>
  <si>
    <t>-0.0567: Figure 6 panel (c) Average 10th Grade Math Score, cubic Year 6 relative to election (exact estimates provided by author), divided by student-level SDs (43.2, footnote 28)</t>
  </si>
  <si>
    <t>\\$2048.79 (2014\\$): Table 8 Dynamic RD model SIG eligibilty, average Year 1-4</t>
  </si>
  <si>
    <t>\\$6300 (2010\\$): \`\`the average bond proposal in close elections is about \\$6,300 per pupil'' (249), depreciated over 15 years and averaged over first 6</t>
  </si>
  <si>
    <t>0.103, 0.160: Table VII, Academic achievement 6 yrs later Reading and Math, standardized (\`\`the year-six point estimates correspond to effects of roughly 0.067 student-level standard deviations for reading and 0.077 for mathematics'' (252)</t>
  </si>
  <si>
    <t>0.081, 0.07: Table 3 Capital Exp \$PP_t$ model (2) Percent Proficient in Math and Reading, relative to time t-3, standardized (Table 1 Percent Proficient in Math and Reading)</t>
  </si>
  <si>
    <t>\\$1000 (2016\\$): \`\`models…measure the effect of a \\$1000 spending increase'' (175)</t>
  </si>
  <si>
    <t>\\$1000 (1991\\$): \`\`median estimate…implies that a one standard deviation increase in per-pupil spending (\\$1,000)…'' (21)</t>
  </si>
  <si>
    <t>\\$1000 (2012\\$): \`\`interpretation…is that \\$1,000 of additional spending during each of grades four through seven…'' (269)</t>
  </si>
  <si>
    <t>\\$1000 (2015\\$): \`\`preferred model, a \\$1000 reduction in per-pupil spending…'' (14)</t>
  </si>
  <si>
    <t>\\$85 (2000\\$): \`\`results indicate that a \\$100 increase in per-pupil Title I funding…'' (66) times 0.85 passed through in real dollars seen by students (Figure 9)</t>
  </si>
  <si>
    <t>-\\$303.096 (2010\\$): Table 3 Total average Election year-3 years after, times 12000 (\`\`District spending per pupil is just under \\$12,000 annually'' (384))</t>
  </si>
  <si>
    <t>\\$7800 (2010\\$): \`\`average per-pupil size of capital campaigns in Texas, the state we study in this paper, is about \\$7800'' (14), depreciated over 15 years averaged over first 6 years</t>
  </si>
  <si>
    <t>\\$1371.9 (2013\\$): specification, 0.1 times baseline spend \\$13,719.24 (30)</t>
  </si>
  <si>
    <t>\\$70000 (2005\\$): \`\`about \\$70,000 in the New Haven SCP'' (25), depreciated over 50 years averaged over first 6 years</t>
  </si>
  <si>
    <t>47.77, 12.36: Table 4 models (3) and(6) 6 Years after election Low-SES achievement and High-SES achievement, to student-level standard deviation units extrapolating from \`\`These estimates amount to 0.40 to 0.57 standard deviations…'' (119), distributed across estimated students per school (NCES)</t>
  </si>
  <si>
    <t>\\$1000 (2010\\$): specification, \`\`estimates imply…for every \\$1,000'' (159)</t>
  </si>
  <si>
    <t>"The key difference is funding, with a roughly $2000 difference across the 300 mile 2 threshold for small districts and no difference across the threshold for mid-sized districts." (123)</t>
  </si>
  <si>
    <t xml:space="preserve"> \`\`the median per-pupil bond campaign approved in Wisconsin is only approximately \\$4,400 per pupil, and bond funds are frequently used to repair, maintain, and modernize existing structures, rather than to build new schools'' (24)</t>
  </si>
  <si>
    <t>PPEchange_nodep</t>
  </si>
  <si>
    <t>Sample_Urban1Rural2None0</t>
  </si>
  <si>
    <t>Sample_PolicyType</t>
  </si>
  <si>
    <t>Equalization</t>
  </si>
  <si>
    <t>HoldHarmless</t>
  </si>
  <si>
    <t>Recession</t>
  </si>
  <si>
    <t>Referenda</t>
  </si>
  <si>
    <t>PropertyValues</t>
  </si>
  <si>
    <t>Sample_South1North2Northeast3West4None0</t>
  </si>
  <si>
    <t>Capital</t>
  </si>
  <si>
    <t>SIG</t>
  </si>
  <si>
    <t>TitleI</t>
  </si>
  <si>
    <t>Table A19 column 4</t>
  </si>
  <si>
    <t>Table A19 column 8</t>
  </si>
  <si>
    <t>0.0529: Table A19 model (4) 4-Year Avg Per-Pupil Spending (thousands)</t>
  </si>
  <si>
    <t>0.0201: Table A19 model (8) 4-Year Avg Per-Pupil Spending (thousands), standardized based on Table 1 College Enrollment Rate baseline</t>
  </si>
  <si>
    <t>Bo calculation 6/12</t>
  </si>
  <si>
    <t>\\$9600 (2014\\$): average capital outlays years 1-6 post election (Table 5), depreciated over 15 years averaged across first 6 years</t>
  </si>
  <si>
    <t>PPEchange_bytype</t>
  </si>
  <si>
    <t>Chaudhary</t>
  </si>
  <si>
    <t>This paper estimates the impact of the Michigan school ﬁnance reform, Proposal A, on education inputs and test scores. Using a difference-in-difference estimation strategy, I ﬁnd that school districts in Michigan used the increase in educational spending generated through Proposal A to increase teacher salaries and reduce class size to a smaller extent. Then, using the foundation allowance created by Proposal A as an instrument, I estimate the causal effect of increased spending on 4th and 7th grade math scores for two test measures – a scaled score and a percent satisfactory measure – and ﬁnd positive effects of increased spending on 4th grade test scores. A 60% increase in spending increases the percent satisfactory score by one standard deviation. The positive impact of expenditures on test performance seems largely due to higher teacher salaries.</t>
  </si>
  <si>
    <t>Table 3 Log operating 4th Grade Scaled score</t>
  </si>
  <si>
    <t>Table 3 Log operating 7th Grade Scaled score</t>
  </si>
  <si>
    <t>Table 1 Total expenditures per-pupil Mean MI</t>
  </si>
  <si>
    <t>Education inputs, student performance and school finance reform in Michigan</t>
  </si>
  <si>
    <t>Footnote 10</t>
  </si>
  <si>
    <t>Schlaffer Burge</t>
  </si>
  <si>
    <t>Exploiting quasi-experimental variation in levels of capital funding, we provide new evidence on the asymmetric effects of investments in educational facilities on academic achievement. We merge data from 4 million 3rd–8th graders in Texas with school bond outcomes and school openings. We find meaningful differences in the impact across the top and bottom quintiles of the pre-treatment achievement distribution, a result supported by the peer effects literature and a “reshuffling’ of higher performing students into new schools. The mean impact of bond passage on reading and math scores is positive – at roughly 1/10th of a standard deviation. However, the effect on the lowest scoring students is four times as large, while the effect reverses in direction for the highest performing students.</t>
  </si>
  <si>
    <t xml:space="preserve">pg. 97, and also </t>
  </si>
  <si>
    <t>MSM</t>
  </si>
  <si>
    <t>MSM Table 2 Passed, sum Instructional spending per student with Capital outlay per student</t>
  </si>
  <si>
    <t>The asymmetric effects of school facilities on academic achievement: Evidence from Texas bond votes</t>
  </si>
  <si>
    <t>Take change in spending from Martorell, Stange, McFarlin (2016)</t>
  </si>
  <si>
    <t>The U.S. Department of Education made recent technical changes reducing eligibility for the Rural and Low-Income School Program. Given smaller budgets and lower economies of scale, rural districts may be less able to absorb short-term funding cuts and experience stronger negative achievement effects. Kansas implemented a state-level finance change (block grant funding) after 2015, which froze district revenue regardless of enrollment and reduced funding in districts where enrollment increased. Difference-in-differences models compare achievement before and after block grant implementation to estimate effects of funding cuts separately in rural and nonrural districts. Between-state and within-state comparisons offer complementary identification strategies in which the strengths of one approach help address limitations of the other. Revenue/spending reductions are similar by geography but represent a larger fraction of rural district budgets. Results indicate that revenue reductions have larger implications for achievement in rural areas, where they represent a larger proportion of the total budget.</t>
  </si>
  <si>
    <t>KS Block Grant</t>
  </si>
  <si>
    <t>AERA Open</t>
  </si>
  <si>
    <t>school finance, achievement, rural education, geography, educational policy</t>
  </si>
  <si>
    <t>Does Money Matter More in the Country? Education Funding Reductions and Achievement in Kansas, 2010–2018</t>
  </si>
  <si>
    <t>Appendix Table A2 Total Spending/Pupil Rural</t>
  </si>
  <si>
    <t>Appendix Table A2 Total Spending/Pupil Nonrural</t>
  </si>
  <si>
    <t>Block Grant</t>
  </si>
  <si>
    <t>Table 2 Grew X Post Spending rural</t>
  </si>
  <si>
    <t>Table 2 Grew X Post Spending nonrural</t>
  </si>
  <si>
    <t>Rauscher a</t>
  </si>
  <si>
    <t>Rauscher b</t>
  </si>
  <si>
    <t>Table 4 math rural and Table A11 ELA rural, combined</t>
  </si>
  <si>
    <t>Table 4 math nonrural and Table A11 ELA nonrural, combined</t>
  </si>
  <si>
    <t>Nonrural, from calculations</t>
  </si>
  <si>
    <t>Rural</t>
  </si>
  <si>
    <t>Table A2</t>
  </si>
  <si>
    <t xml:space="preserve"> -\\$745, the average of the decrease in spending in rural (-\\$940) and nonrual (-\\$550), (\\$2019)</t>
  </si>
  <si>
    <t>.1765516: Table 3, 4th and 7th scaled scores</t>
  </si>
  <si>
    <t>.016: Tables 4 math and A11 ELA model(3), rural and nonrural, to student-level SD units from author correspondance</t>
  </si>
  <si>
    <t>\\$5348 (1991\\$): From Table 1 baseline</t>
  </si>
  <si>
    <t>ES</t>
  </si>
  <si>
    <t>ES DiD</t>
  </si>
  <si>
    <t>IV</t>
  </si>
  <si>
    <t>0.0174: Table 8 Grad. Rate, $\leq 5yrs$, Bandwidth $+ / - 10$, standardized (Table 2 Grad. Rate (4yr), Passed); adjusted by factor of 0.8 (5 years to 4 year equivalent)</t>
  </si>
  <si>
    <t>0.066: Table 8 Math/ELA (SDs), $\leq 5yrs$, Bandwidth $+ / - 10$; adjusted by factor of 0.8 (5 years to 4 year equivalent)</t>
  </si>
  <si>
    <t>0.07053: Table III Prob(High School Graduate) model (7), standardized based on avg. national baseline graduation rate of 0.77; adjusted by factor of 0.33 (12 to 4 years)</t>
  </si>
  <si>
    <t>0.0225: Table 2 first column County Title I per-pupil spending (00s), average ages five to seventeen, standardized based on avg. national baseline graduation rate of 0.77; adjusted by factor of 0.33 (12 to 4 years)</t>
  </si>
  <si>
    <t>0.021: Table 8 Graduation, standardized based on Table 1 Graduation rate baseline; adjusted by factor of 0.44 (9 to 4 years)</t>
  </si>
  <si>
    <t>0.195: Figure 2 Panel (d) Log(Postsecondary Enrollment) Year 10 relative to election (exact estimates provided by author), multiplied by baseline rate (.39, Table 2), standardized; adjusted by factor of 0.4 (10 years to 4)</t>
  </si>
  <si>
    <t>Johnson Jackson (2019), Jackson Johnson Persico</t>
  </si>
  <si>
    <t>\\$87,701 (2013\\$): correspondence with author</t>
  </si>
  <si>
    <t>Educational Evaluation and Policy</t>
  </si>
  <si>
    <t>Mathematica</t>
  </si>
  <si>
    <t>Journal of Public Administration Research and Theory</t>
  </si>
  <si>
    <t>Social science journal</t>
  </si>
  <si>
    <t>NYU IESP WP</t>
  </si>
  <si>
    <t>GradesRepresented</t>
  </si>
  <si>
    <t>mix</t>
  </si>
  <si>
    <t>low</t>
  </si>
  <si>
    <t>The Impact of School Facility Investments on Students and Homeowners: Evidence from Los Angeles</t>
  </si>
  <si>
    <t>We study school facility investments using administrative records
from Los Angeles. Exploiting quasi-random variation in the timing
of new facility openings and using a residential assignment instrument, we find positive impacts on test scores, attendance, and house
prices. Effects are not driven by changes in class size, peers, teachers, or principals, but some evidence points toward increased facility
quality. We evaluate program efficiency using implied future earnings and housing capitalization. For each dollar spent, the program
generated $1.62 in household value, with about 24 percent coming
directly through test score gains and 76 percent from capitalization
of non-test-score amenities</t>
  </si>
  <si>
    <t xml:space="preserve"> \`\`We restrict attention only to large new school  projecst''  (261)</t>
  </si>
  <si>
    <t>pg 261 PLUS calculations in CapitalProjectsYrXYr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</si>
</sst>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theme="1"/>
      <name val="Times New Roman"/>
      <family val="1"/>
    </font>
    <font>
      <sz val="12"/>
      <color rgb="FF000000"/>
      <name val="Times New Roman"/>
      <family val="1"/>
    </font>
    <font>
      <sz val="8"/>
      <name val="Calibri"/>
      <family val="2"/>
      <scheme val="minor"/>
    </font>
    <font>
      <sz val="12"/>
      <color rgb="FF222222"/>
      <name val="Times New Roman"/>
      <family val="1"/>
    </font>
    <font>
      <sz val="12"/>
      <color rgb="FF222222"/>
      <name val="Arial"/>
      <family val="2"/>
    </font>
    <font>
      <sz val="12"/>
      <color rgb="FF000000"/>
      <name val="Calibri"/>
      <family val="2"/>
      <scheme val="minor"/>
    </font>
  </fonts>
  <fills count="4">
    <fill>
      <patternFill patternType="none"/>
    </fill>
    <fill>
      <patternFill patternType="gray125"/>
    </fill>
    <fill>
      <patternFill patternType="solid">
        <fgColor theme="8"/>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49" fontId="1" fillId="0" borderId="0" xfId="0" applyNumberFormat="1" applyFont="1" applyAlignment="1">
      <alignment wrapText="1"/>
    </xf>
    <xf numFmtId="49" fontId="2" fillId="0" borderId="0" xfId="0" applyNumberFormat="1" applyFont="1" applyAlignment="1">
      <alignment wrapText="1"/>
    </xf>
    <xf numFmtId="0" fontId="0" fillId="0" borderId="0" xfId="0" applyAlignment="1">
      <alignment wrapText="1"/>
    </xf>
    <xf numFmtId="0" fontId="1" fillId="0" borderId="0" xfId="0" quotePrefix="1" applyFont="1" applyAlignment="1">
      <alignment wrapText="1"/>
    </xf>
    <xf numFmtId="0" fontId="5"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1" fillId="0" borderId="0" xfId="0" applyFont="1"/>
    <xf numFmtId="3" fontId="1" fillId="0" borderId="0" xfId="0" applyNumberFormat="1" applyFont="1" applyAlignment="1">
      <alignment wrapText="1"/>
    </xf>
    <xf numFmtId="49" fontId="1" fillId="2" borderId="0" xfId="0" applyNumberFormat="1"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1C472-ED89-F643-8BB7-71A02A23D4C3}">
  <dimension ref="A1:BR81"/>
  <sheetViews>
    <sheetView tabSelected="1" topLeftCell="BA1" zoomScale="110" zoomScaleNormal="110" workbookViewId="0">
      <pane ySplit="1" topLeftCell="A60" activePane="bottomLeft" state="frozen"/>
      <selection pane="bottomLeft" activeCell="BD61" sqref="BD61"/>
    </sheetView>
  </sheetViews>
  <sheetFormatPr baseColWidth="10" defaultRowHeight="16" x14ac:dyDescent="0.2"/>
  <cols>
    <col min="1" max="2" width="10.83203125" style="1"/>
    <col min="3" max="3" width="11.1640625" style="1" bestFit="1" customWidth="1"/>
    <col min="4" max="4" width="23.1640625" style="1" customWidth="1"/>
    <col min="5" max="5" width="11" style="1" customWidth="1"/>
    <col min="6" max="6" width="12.83203125" style="1" customWidth="1"/>
    <col min="7" max="7" width="20.33203125" style="1" customWidth="1"/>
    <col min="8" max="8" width="24.5" style="1" customWidth="1"/>
    <col min="9" max="9" width="14" style="1" bestFit="1" customWidth="1"/>
    <col min="10" max="10" width="21.83203125" style="1" customWidth="1"/>
    <col min="11" max="11" width="9.33203125" style="1" customWidth="1"/>
    <col min="12" max="12" width="22.6640625" style="1" customWidth="1"/>
    <col min="13" max="13" width="29.5" style="1" customWidth="1"/>
    <col min="14" max="14" width="11.1640625" style="1" bestFit="1" customWidth="1"/>
    <col min="15" max="15" width="11.1640625" style="1" customWidth="1"/>
    <col min="16" max="16" width="58" style="1" customWidth="1"/>
    <col min="17" max="17" width="11.1640625" style="1" bestFit="1" customWidth="1"/>
    <col min="18" max="20" width="58" style="1" customWidth="1"/>
    <col min="21" max="21" width="11.1640625" style="1" bestFit="1" customWidth="1"/>
    <col min="22" max="22" width="10.83203125" style="1"/>
    <col min="23" max="24" width="12.1640625" style="1" customWidth="1"/>
    <col min="25" max="25" width="15" style="1" bestFit="1" customWidth="1"/>
    <col min="26" max="26" width="12.1640625" style="1" customWidth="1"/>
    <col min="27" max="27" width="11.1640625" style="1" bestFit="1" customWidth="1"/>
    <col min="28" max="28" width="25.5" style="1" customWidth="1"/>
    <col min="29" max="29" width="12.5" style="1" bestFit="1" customWidth="1"/>
    <col min="30" max="30" width="14.1640625" style="1" bestFit="1" customWidth="1"/>
    <col min="31" max="31" width="11.83203125" style="1" bestFit="1" customWidth="1"/>
    <col min="32" max="32" width="11.1640625" style="1" customWidth="1"/>
    <col min="33" max="34" width="13" style="1" customWidth="1"/>
    <col min="35" max="35" width="11.1640625" style="1" bestFit="1" customWidth="1"/>
    <col min="36" max="36" width="34" style="5" customWidth="1"/>
    <col min="37" max="37" width="11" style="1" customWidth="1"/>
    <col min="38" max="38" width="16.1640625" style="1" customWidth="1"/>
    <col min="39" max="40" width="23.1640625" style="1" customWidth="1"/>
    <col min="41" max="41" width="10.83203125" style="1"/>
    <col min="42" max="42" width="12.5" style="1" customWidth="1"/>
    <col min="43" max="43" width="12.33203125" style="1" bestFit="1" customWidth="1"/>
    <col min="44" max="44" width="10.83203125" style="1"/>
    <col min="45" max="45" width="11" style="1" bestFit="1" customWidth="1"/>
    <col min="46" max="46" width="19.5" style="1" customWidth="1"/>
    <col min="47" max="47" width="23.5" style="1" customWidth="1"/>
    <col min="48" max="48" width="16.83203125" style="1" customWidth="1"/>
    <col min="49" max="49" width="17.5" style="1" bestFit="1" customWidth="1"/>
    <col min="50" max="50" width="18.1640625" style="1" customWidth="1"/>
    <col min="51" max="51" width="65" style="1" customWidth="1"/>
    <col min="52" max="52" width="14.83203125" style="1" bestFit="1" customWidth="1"/>
    <col min="53" max="53" width="12.1640625" style="1" customWidth="1"/>
    <col min="54" max="54" width="19.33203125" style="1" customWidth="1"/>
    <col min="55" max="55" width="20.83203125" style="1" customWidth="1"/>
    <col min="56" max="56" width="26.83203125" style="1" customWidth="1"/>
    <col min="57" max="57" width="12.83203125" style="1" customWidth="1"/>
    <col min="58" max="59" width="11.1640625" style="1" bestFit="1" customWidth="1"/>
    <col min="60" max="61" width="26.83203125" style="1" customWidth="1"/>
    <col min="62" max="62" width="11.1640625" style="1" customWidth="1"/>
    <col min="63" max="63" width="11.1640625" style="1" bestFit="1" customWidth="1"/>
    <col min="64" max="67" width="9.33203125" style="1" customWidth="1"/>
    <col min="68" max="68" width="7" style="1" customWidth="1"/>
    <col min="69" max="69" width="11.1640625" style="1" bestFit="1" customWidth="1"/>
    <col min="70" max="16384" width="10.83203125" style="1"/>
  </cols>
  <sheetData>
    <row r="1" spans="1:70" s="3" customFormat="1" ht="68" x14ac:dyDescent="0.2">
      <c r="A1" s="3" t="s">
        <v>602</v>
      </c>
      <c r="B1" s="3" t="s">
        <v>3</v>
      </c>
      <c r="C1" s="3" t="s">
        <v>0</v>
      </c>
      <c r="D1" s="3" t="s">
        <v>1</v>
      </c>
      <c r="E1" s="3" t="s">
        <v>2</v>
      </c>
      <c r="F1" s="3" t="s">
        <v>6</v>
      </c>
      <c r="G1" s="3" t="s">
        <v>86</v>
      </c>
      <c r="H1" s="3" t="s">
        <v>87</v>
      </c>
      <c r="I1" s="3" t="s">
        <v>89</v>
      </c>
      <c r="J1" s="3" t="s">
        <v>90</v>
      </c>
      <c r="K1" s="3" t="s">
        <v>91</v>
      </c>
      <c r="L1" s="3" t="s">
        <v>93</v>
      </c>
      <c r="M1" s="3" t="s">
        <v>186</v>
      </c>
      <c r="N1" s="3" t="s">
        <v>183</v>
      </c>
      <c r="O1" s="3" t="s">
        <v>465</v>
      </c>
      <c r="P1" s="3" t="s">
        <v>20</v>
      </c>
      <c r="Q1" s="3" t="s">
        <v>16</v>
      </c>
      <c r="R1" s="3" t="s">
        <v>534</v>
      </c>
      <c r="S1" s="3" t="s">
        <v>540</v>
      </c>
      <c r="T1" s="3" t="s">
        <v>533</v>
      </c>
      <c r="U1" s="3" t="s">
        <v>12</v>
      </c>
      <c r="V1" s="3" t="s">
        <v>490</v>
      </c>
      <c r="W1" s="3" t="s">
        <v>406</v>
      </c>
      <c r="X1" s="3" t="s">
        <v>407</v>
      </c>
      <c r="Y1" s="3" t="s">
        <v>408</v>
      </c>
      <c r="Z1" s="3" t="s">
        <v>409</v>
      </c>
      <c r="AA1" s="3" t="s">
        <v>19</v>
      </c>
      <c r="AB1" s="3" t="s">
        <v>7</v>
      </c>
      <c r="AC1" s="3" t="s">
        <v>9</v>
      </c>
      <c r="AD1" s="3" t="s">
        <v>8</v>
      </c>
      <c r="AE1" s="3" t="s">
        <v>13</v>
      </c>
      <c r="AF1" s="3" t="s">
        <v>449</v>
      </c>
      <c r="AG1" s="3" t="s">
        <v>14</v>
      </c>
      <c r="AH1" s="3" t="s">
        <v>451</v>
      </c>
      <c r="AI1" s="3" t="s">
        <v>4</v>
      </c>
      <c r="AJ1" s="14" t="s">
        <v>392</v>
      </c>
      <c r="AK1" s="3" t="s">
        <v>338</v>
      </c>
      <c r="AL1" s="3" t="s">
        <v>170</v>
      </c>
      <c r="AM1" s="3" t="s">
        <v>383</v>
      </c>
      <c r="AN1" s="3" t="s">
        <v>384</v>
      </c>
      <c r="AO1" s="3" t="s">
        <v>5</v>
      </c>
      <c r="AP1" s="3" t="s">
        <v>17</v>
      </c>
      <c r="AQ1" s="3" t="s">
        <v>285</v>
      </c>
      <c r="AR1" s="3" t="s">
        <v>286</v>
      </c>
      <c r="AS1" s="3" t="s">
        <v>300</v>
      </c>
      <c r="AT1" s="3" t="s">
        <v>550</v>
      </c>
      <c r="AU1" s="3" t="s">
        <v>85</v>
      </c>
      <c r="AV1" s="3" t="s">
        <v>84</v>
      </c>
      <c r="AW1" s="3" t="s">
        <v>532</v>
      </c>
      <c r="AX1" s="3" t="s">
        <v>495</v>
      </c>
      <c r="AY1" s="3" t="s">
        <v>496</v>
      </c>
      <c r="AZ1" s="3" t="s">
        <v>497</v>
      </c>
      <c r="BA1" s="3" t="s">
        <v>500</v>
      </c>
      <c r="BB1" s="3" t="s">
        <v>39</v>
      </c>
      <c r="BC1" s="3" t="s">
        <v>377</v>
      </c>
      <c r="BD1" s="3" t="s">
        <v>378</v>
      </c>
      <c r="BE1" s="3" t="s">
        <v>347</v>
      </c>
      <c r="BF1" s="3" t="s">
        <v>18</v>
      </c>
      <c r="BG1" s="3" t="s">
        <v>11</v>
      </c>
      <c r="BH1" s="3" t="s">
        <v>401</v>
      </c>
      <c r="BI1" s="3" t="s">
        <v>402</v>
      </c>
      <c r="BJ1" s="3" t="s">
        <v>400</v>
      </c>
      <c r="BK1" s="3" t="s">
        <v>88</v>
      </c>
      <c r="BL1" s="3" t="s">
        <v>410</v>
      </c>
      <c r="BM1" s="3" t="s">
        <v>411</v>
      </c>
      <c r="BN1" s="3" t="s">
        <v>412</v>
      </c>
      <c r="BO1" s="3" t="s">
        <v>413</v>
      </c>
      <c r="BP1" s="3" t="s">
        <v>92</v>
      </c>
      <c r="BQ1" s="3" t="s">
        <v>10</v>
      </c>
      <c r="BR1" s="3" t="s">
        <v>15</v>
      </c>
    </row>
    <row r="2" spans="1:70" ht="169" customHeight="1" x14ac:dyDescent="0.2">
      <c r="A2" s="1" t="s">
        <v>603</v>
      </c>
      <c r="B2" s="1" t="s">
        <v>116</v>
      </c>
      <c r="C2" s="1">
        <v>2020</v>
      </c>
      <c r="D2" s="1" t="s">
        <v>21</v>
      </c>
      <c r="E2" s="1" t="s">
        <v>246</v>
      </c>
      <c r="F2" s="1" t="s">
        <v>351</v>
      </c>
      <c r="G2" s="1">
        <v>0.09</v>
      </c>
      <c r="H2" s="1">
        <v>4.4999999999999998E-2</v>
      </c>
      <c r="M2" s="1">
        <v>0</v>
      </c>
      <c r="N2" s="1">
        <v>0</v>
      </c>
      <c r="O2" s="1">
        <v>1</v>
      </c>
      <c r="P2" s="1" t="s">
        <v>350</v>
      </c>
      <c r="Q2" s="1">
        <v>1</v>
      </c>
      <c r="R2" s="1" t="s">
        <v>538</v>
      </c>
      <c r="S2" s="1">
        <v>0</v>
      </c>
      <c r="T2" s="1">
        <v>0</v>
      </c>
      <c r="U2" s="1">
        <v>0</v>
      </c>
      <c r="AA2" s="1">
        <v>1</v>
      </c>
      <c r="AB2" s="1">
        <v>-0.05</v>
      </c>
      <c r="AE2" s="1">
        <v>10938</v>
      </c>
      <c r="AF2" s="1">
        <v>2012</v>
      </c>
      <c r="AG2" s="1" t="s">
        <v>202</v>
      </c>
      <c r="AH2" s="1">
        <v>0</v>
      </c>
      <c r="AI2" s="1">
        <v>2012</v>
      </c>
      <c r="AJ2" s="5" t="s">
        <v>393</v>
      </c>
      <c r="AK2" s="1" t="s">
        <v>22</v>
      </c>
      <c r="AL2" s="1" t="s">
        <v>171</v>
      </c>
      <c r="AO2" s="1" t="s">
        <v>96</v>
      </c>
      <c r="AP2" s="1" t="s">
        <v>23</v>
      </c>
      <c r="AQ2" s="1">
        <f>((256+301)/(0.5*(202+281)))^2</f>
        <v>5.3195650030648673</v>
      </c>
      <c r="AU2" s="1">
        <v>256</v>
      </c>
      <c r="AX2" s="1">
        <v>0</v>
      </c>
      <c r="BE2" s="1">
        <v>5</v>
      </c>
      <c r="BF2" s="1">
        <v>0</v>
      </c>
      <c r="BG2" s="1">
        <v>0</v>
      </c>
      <c r="BQ2" s="1">
        <v>1</v>
      </c>
    </row>
    <row r="3" spans="1:70" ht="221" x14ac:dyDescent="0.2">
      <c r="A3" s="1" t="s">
        <v>603</v>
      </c>
      <c r="B3" s="1" t="s">
        <v>116</v>
      </c>
      <c r="C3" s="1">
        <v>2020</v>
      </c>
      <c r="D3" s="1" t="s">
        <v>21</v>
      </c>
      <c r="E3" s="1" t="s">
        <v>246</v>
      </c>
      <c r="F3" s="1" t="s">
        <v>351</v>
      </c>
      <c r="G3" s="1">
        <f>(0.09)+(-0.055)</f>
        <v>3.4999999999999996E-2</v>
      </c>
      <c r="H3" s="1">
        <f>SQRT(0.25*(0.045^2+0.068^2+2*0.5*0.045*0.068))</f>
        <v>4.9267129000988077E-2</v>
      </c>
      <c r="I3" s="1" t="s">
        <v>304</v>
      </c>
      <c r="M3" s="1">
        <v>0</v>
      </c>
      <c r="N3" s="1">
        <v>1</v>
      </c>
      <c r="O3" s="1">
        <v>0</v>
      </c>
      <c r="P3" s="1" t="s">
        <v>350</v>
      </c>
      <c r="Q3" s="1">
        <v>1</v>
      </c>
      <c r="R3" s="1" t="s">
        <v>538</v>
      </c>
      <c r="S3" s="1">
        <v>0</v>
      </c>
      <c r="T3" s="1">
        <v>0</v>
      </c>
      <c r="U3" s="1">
        <v>0</v>
      </c>
      <c r="AA3" s="1">
        <v>1</v>
      </c>
      <c r="AB3" s="1">
        <v>-0.05</v>
      </c>
      <c r="AD3" s="1" t="s">
        <v>352</v>
      </c>
      <c r="AE3" s="1">
        <v>10938</v>
      </c>
      <c r="AF3" s="1">
        <v>2012</v>
      </c>
      <c r="AG3" s="1" t="s">
        <v>202</v>
      </c>
      <c r="AH3" s="1">
        <v>0</v>
      </c>
      <c r="AI3" s="1">
        <v>2012</v>
      </c>
      <c r="AJ3" s="5" t="s">
        <v>393</v>
      </c>
      <c r="AK3" s="1" t="s">
        <v>22</v>
      </c>
      <c r="AL3" s="1" t="s">
        <v>171</v>
      </c>
      <c r="AO3" s="1" t="s">
        <v>96</v>
      </c>
      <c r="AP3" s="1" t="s">
        <v>23</v>
      </c>
      <c r="AQ3" s="1">
        <f>((256+301)/(0.5*(202+281)))^2</f>
        <v>5.3195650030648673</v>
      </c>
      <c r="AR3" s="1" t="s">
        <v>303</v>
      </c>
      <c r="AS3" s="1">
        <v>0</v>
      </c>
      <c r="AU3" s="1">
        <f>256+301</f>
        <v>557</v>
      </c>
      <c r="AV3" s="1">
        <f>0.5*(202+281)</f>
        <v>241.5</v>
      </c>
      <c r="AX3" s="1">
        <v>0</v>
      </c>
      <c r="BB3" s="1" t="s">
        <v>306</v>
      </c>
      <c r="BE3" s="1">
        <v>5</v>
      </c>
      <c r="BF3" s="1">
        <v>0</v>
      </c>
      <c r="BG3" s="1">
        <v>0</v>
      </c>
      <c r="BJ3" s="1">
        <v>1</v>
      </c>
      <c r="BQ3" s="1">
        <v>1</v>
      </c>
      <c r="BR3" s="1" t="s">
        <v>302</v>
      </c>
    </row>
    <row r="4" spans="1:70" ht="221" x14ac:dyDescent="0.2">
      <c r="A4" s="1" t="s">
        <v>603</v>
      </c>
      <c r="B4" s="1" t="s">
        <v>116</v>
      </c>
      <c r="C4" s="1">
        <v>2020</v>
      </c>
      <c r="D4" s="1" t="s">
        <v>21</v>
      </c>
      <c r="E4" s="1" t="s">
        <v>246</v>
      </c>
      <c r="F4" s="1" t="s">
        <v>351</v>
      </c>
      <c r="G4" s="1">
        <v>6.6000000000000003E-2</v>
      </c>
      <c r="H4" s="1">
        <v>3.7999999999999999E-2</v>
      </c>
      <c r="I4" s="1" t="s">
        <v>307</v>
      </c>
      <c r="M4" s="1">
        <v>1</v>
      </c>
      <c r="N4" s="1">
        <v>0</v>
      </c>
      <c r="O4" s="1">
        <v>0</v>
      </c>
      <c r="P4" s="1" t="s">
        <v>350</v>
      </c>
      <c r="Q4" s="1">
        <v>1</v>
      </c>
      <c r="R4" s="1" t="s">
        <v>538</v>
      </c>
      <c r="S4" s="1">
        <v>0</v>
      </c>
      <c r="T4" s="1">
        <v>0</v>
      </c>
      <c r="U4" s="1">
        <v>0</v>
      </c>
      <c r="AA4" s="1">
        <v>1</v>
      </c>
      <c r="AB4" s="1">
        <v>-0.05</v>
      </c>
      <c r="AD4" s="1" t="s">
        <v>352</v>
      </c>
      <c r="AE4" s="1">
        <v>10938</v>
      </c>
      <c r="AF4" s="1">
        <v>2012</v>
      </c>
      <c r="AG4" s="1" t="s">
        <v>202</v>
      </c>
      <c r="AH4" s="1">
        <v>0</v>
      </c>
      <c r="AI4" s="1">
        <v>2012</v>
      </c>
      <c r="AJ4" s="5" t="s">
        <v>393</v>
      </c>
      <c r="AK4" s="1" t="s">
        <v>22</v>
      </c>
      <c r="AL4" s="1" t="s">
        <v>171</v>
      </c>
      <c r="AO4" s="1" t="s">
        <v>96</v>
      </c>
      <c r="AP4" s="1" t="s">
        <v>23</v>
      </c>
      <c r="AQ4" s="1">
        <f>(417/181)^2</f>
        <v>5.3078050120570177</v>
      </c>
      <c r="AR4" s="1" t="s">
        <v>301</v>
      </c>
      <c r="AS4" s="1">
        <v>0</v>
      </c>
      <c r="AU4" s="1">
        <v>417</v>
      </c>
      <c r="AV4" s="1">
        <v>181</v>
      </c>
      <c r="AX4" s="1">
        <v>0</v>
      </c>
      <c r="BB4" s="1" t="s">
        <v>305</v>
      </c>
      <c r="BC4" s="7" t="s">
        <v>414</v>
      </c>
      <c r="BD4" s="1" t="s">
        <v>590</v>
      </c>
      <c r="BE4" s="1">
        <v>5</v>
      </c>
      <c r="BF4" s="1">
        <v>0</v>
      </c>
      <c r="BG4" s="1">
        <v>0</v>
      </c>
      <c r="BJ4" s="1">
        <v>1</v>
      </c>
      <c r="BQ4" s="1">
        <v>1</v>
      </c>
      <c r="BR4" s="1" t="s">
        <v>302</v>
      </c>
    </row>
    <row r="5" spans="1:70" ht="117" customHeight="1" x14ac:dyDescent="0.2">
      <c r="B5" s="1" t="s">
        <v>116</v>
      </c>
      <c r="C5" s="1">
        <v>2020</v>
      </c>
      <c r="D5" s="1" t="s">
        <v>21</v>
      </c>
      <c r="E5" s="1" t="s">
        <v>247</v>
      </c>
      <c r="F5" s="1" t="s">
        <v>369</v>
      </c>
      <c r="G5" s="1">
        <v>1.7600000000000001E-2</v>
      </c>
      <c r="H5" s="1">
        <v>2.1399999999999999E-2</v>
      </c>
      <c r="I5" s="1" t="s">
        <v>482</v>
      </c>
      <c r="M5" s="1">
        <v>0</v>
      </c>
      <c r="N5" s="1">
        <v>0</v>
      </c>
      <c r="O5" s="1">
        <v>1</v>
      </c>
      <c r="P5" s="1" t="s">
        <v>350</v>
      </c>
      <c r="Q5" s="1">
        <v>1</v>
      </c>
      <c r="R5" s="1" t="s">
        <v>538</v>
      </c>
      <c r="S5" s="1">
        <v>0</v>
      </c>
      <c r="T5" s="1">
        <v>0</v>
      </c>
      <c r="U5" s="1">
        <v>0</v>
      </c>
      <c r="AA5" s="1">
        <v>0</v>
      </c>
      <c r="AB5" s="1">
        <v>0.84670000000000001</v>
      </c>
      <c r="AC5" s="1">
        <f>SQRT(AB5*(1-AB5))</f>
        <v>0.36027643553249494</v>
      </c>
      <c r="AD5" s="1" t="s">
        <v>309</v>
      </c>
      <c r="AE5" s="1">
        <v>10938</v>
      </c>
      <c r="AF5" s="1">
        <v>2012</v>
      </c>
      <c r="AG5" s="1" t="s">
        <v>202</v>
      </c>
      <c r="AH5" s="1">
        <v>0</v>
      </c>
      <c r="AI5" s="1">
        <v>2012</v>
      </c>
      <c r="AJ5" s="5" t="s">
        <v>393</v>
      </c>
      <c r="AK5" s="1" t="s">
        <v>22</v>
      </c>
      <c r="AL5" s="1" t="s">
        <v>171</v>
      </c>
      <c r="AO5" s="1" t="s">
        <v>96</v>
      </c>
      <c r="AP5" s="1" t="s">
        <v>23</v>
      </c>
      <c r="AQ5" s="1">
        <f>((256+301)/(0.5*(202+281)))^2</f>
        <v>5.3195650030648673</v>
      </c>
      <c r="AR5" s="1" t="s">
        <v>303</v>
      </c>
      <c r="AS5" s="1">
        <v>0</v>
      </c>
      <c r="AU5" s="1">
        <v>256</v>
      </c>
      <c r="AX5" s="1">
        <v>0</v>
      </c>
      <c r="BB5" s="1" t="s">
        <v>481</v>
      </c>
      <c r="BE5" s="1">
        <v>5</v>
      </c>
      <c r="BF5" s="1">
        <v>0</v>
      </c>
      <c r="BG5" s="1">
        <v>0</v>
      </c>
      <c r="BQ5" s="1">
        <v>1</v>
      </c>
      <c r="BR5" s="1" t="s">
        <v>302</v>
      </c>
    </row>
    <row r="6" spans="1:70" ht="221" x14ac:dyDescent="0.2">
      <c r="B6" s="1" t="s">
        <v>116</v>
      </c>
      <c r="C6" s="1">
        <v>2020</v>
      </c>
      <c r="D6" s="1" t="s">
        <v>21</v>
      </c>
      <c r="E6" s="1" t="s">
        <v>247</v>
      </c>
      <c r="F6" s="1" t="s">
        <v>369</v>
      </c>
      <c r="G6" s="1">
        <f>0.0176-0.0095</f>
        <v>8.1000000000000013E-3</v>
      </c>
      <c r="H6" s="1">
        <f>SQRT(0.25*(0.0214^2+0.0323^2+2*0.5*0.0214*0.0323))</f>
        <v>2.3411909362544527E-2</v>
      </c>
      <c r="I6" s="1" t="s">
        <v>310</v>
      </c>
      <c r="M6" s="1">
        <v>0</v>
      </c>
      <c r="N6" s="1">
        <v>1</v>
      </c>
      <c r="O6" s="1">
        <v>0</v>
      </c>
      <c r="P6" s="1" t="s">
        <v>350</v>
      </c>
      <c r="Q6" s="1">
        <v>1</v>
      </c>
      <c r="R6" s="1" t="s">
        <v>538</v>
      </c>
      <c r="S6" s="1">
        <v>0</v>
      </c>
      <c r="T6" s="1">
        <v>0</v>
      </c>
      <c r="U6" s="1">
        <v>0</v>
      </c>
      <c r="AA6" s="1">
        <v>0</v>
      </c>
      <c r="AB6" s="1">
        <v>0.84670000000000001</v>
      </c>
      <c r="AC6" s="1">
        <f>SQRT(AB6*(1-AB6))</f>
        <v>0.36027643553249494</v>
      </c>
      <c r="AD6" s="1" t="s">
        <v>309</v>
      </c>
      <c r="AE6" s="1">
        <v>10938</v>
      </c>
      <c r="AF6" s="1">
        <v>2012</v>
      </c>
      <c r="AG6" s="1" t="s">
        <v>202</v>
      </c>
      <c r="AH6" s="1">
        <v>0</v>
      </c>
      <c r="AI6" s="1">
        <v>2012</v>
      </c>
      <c r="AJ6" s="5" t="s">
        <v>393</v>
      </c>
      <c r="AK6" s="1" t="s">
        <v>22</v>
      </c>
      <c r="AL6" s="1" t="s">
        <v>171</v>
      </c>
      <c r="AO6" s="1" t="s">
        <v>96</v>
      </c>
      <c r="AP6" s="1" t="s">
        <v>23</v>
      </c>
      <c r="AQ6" s="1">
        <f>((256+301)/(0.5*(202+281)))^2</f>
        <v>5.3195650030648673</v>
      </c>
      <c r="AR6" s="1" t="s">
        <v>303</v>
      </c>
      <c r="AS6" s="1">
        <v>0</v>
      </c>
      <c r="AU6" s="1">
        <f>256+301</f>
        <v>557</v>
      </c>
      <c r="AX6" s="1">
        <v>0</v>
      </c>
      <c r="BB6" s="1" t="s">
        <v>480</v>
      </c>
      <c r="BE6" s="1">
        <v>5</v>
      </c>
      <c r="BF6" s="1">
        <v>0</v>
      </c>
      <c r="BG6" s="1">
        <v>0</v>
      </c>
      <c r="BJ6" s="1">
        <v>1</v>
      </c>
      <c r="BQ6" s="1">
        <v>1</v>
      </c>
      <c r="BR6" s="1" t="s">
        <v>302</v>
      </c>
    </row>
    <row r="7" spans="1:70" ht="117" customHeight="1" x14ac:dyDescent="0.2">
      <c r="B7" s="1" t="s">
        <v>116</v>
      </c>
      <c r="C7" s="1">
        <v>2020</v>
      </c>
      <c r="D7" s="1" t="s">
        <v>21</v>
      </c>
      <c r="E7" s="1" t="s">
        <v>247</v>
      </c>
      <c r="F7" s="1" t="s">
        <v>369</v>
      </c>
      <c r="G7" s="1">
        <v>1.7399999999999999E-2</v>
      </c>
      <c r="H7" s="1">
        <v>1.7999999999999999E-2</v>
      </c>
      <c r="I7" s="1" t="s">
        <v>308</v>
      </c>
      <c r="M7" s="1">
        <v>1</v>
      </c>
      <c r="N7" s="1">
        <v>0</v>
      </c>
      <c r="O7" s="1">
        <v>0</v>
      </c>
      <c r="P7" s="1" t="s">
        <v>350</v>
      </c>
      <c r="Q7" s="1">
        <v>1</v>
      </c>
      <c r="R7" s="2" t="s">
        <v>538</v>
      </c>
      <c r="S7" s="2">
        <v>0</v>
      </c>
      <c r="T7" s="2">
        <v>0</v>
      </c>
      <c r="U7" s="1">
        <v>0</v>
      </c>
      <c r="AA7" s="1">
        <v>0</v>
      </c>
      <c r="AB7" s="1">
        <v>0.84670000000000001</v>
      </c>
      <c r="AC7" s="1">
        <f>SQRT(AB7*(1-AB7))</f>
        <v>0.36027643553249494</v>
      </c>
      <c r="AD7" s="1" t="s">
        <v>309</v>
      </c>
      <c r="AE7" s="1">
        <v>10938</v>
      </c>
      <c r="AF7" s="1">
        <v>2012</v>
      </c>
      <c r="AG7" s="1" t="s">
        <v>202</v>
      </c>
      <c r="AH7" s="1">
        <v>0</v>
      </c>
      <c r="AI7" s="1">
        <v>2012</v>
      </c>
      <c r="AJ7" s="5" t="s">
        <v>393</v>
      </c>
      <c r="AK7" s="1" t="s">
        <v>22</v>
      </c>
      <c r="AL7" s="1" t="s">
        <v>171</v>
      </c>
      <c r="AO7" s="1" t="s">
        <v>96</v>
      </c>
      <c r="AP7" s="1" t="s">
        <v>23</v>
      </c>
      <c r="AQ7" s="1">
        <f>(417/181)^2</f>
        <v>5.3078050120570177</v>
      </c>
      <c r="AR7" s="1" t="s">
        <v>301</v>
      </c>
      <c r="AS7" s="1">
        <v>0</v>
      </c>
      <c r="AU7" s="1">
        <v>417</v>
      </c>
      <c r="AV7" s="1">
        <v>181</v>
      </c>
      <c r="AX7" s="1">
        <v>0</v>
      </c>
      <c r="BB7" s="1" t="s">
        <v>305</v>
      </c>
      <c r="BC7" s="7" t="s">
        <v>414</v>
      </c>
      <c r="BD7" s="1" t="s">
        <v>589</v>
      </c>
      <c r="BE7" s="1">
        <v>5</v>
      </c>
      <c r="BF7" s="1">
        <v>0</v>
      </c>
      <c r="BG7" s="1">
        <v>0</v>
      </c>
      <c r="BJ7" s="1">
        <v>1</v>
      </c>
      <c r="BQ7" s="1">
        <v>1</v>
      </c>
      <c r="BR7" s="1" t="s">
        <v>302</v>
      </c>
    </row>
    <row r="8" spans="1:70" ht="187" x14ac:dyDescent="0.2">
      <c r="A8" s="1" t="s">
        <v>255</v>
      </c>
      <c r="B8" s="1" t="s">
        <v>272</v>
      </c>
      <c r="C8" s="1">
        <v>2022</v>
      </c>
      <c r="D8" s="1" t="s">
        <v>94</v>
      </c>
      <c r="E8" s="1" t="s">
        <v>95</v>
      </c>
      <c r="F8" s="1" t="s">
        <v>351</v>
      </c>
      <c r="G8" s="1">
        <f>4.05/43.2</f>
        <v>9.3749999999999986E-2</v>
      </c>
      <c r="H8" s="1">
        <f>3.078/43.2</f>
        <v>7.1249999999999994E-2</v>
      </c>
      <c r="I8" s="1" t="s">
        <v>510</v>
      </c>
      <c r="M8" s="1">
        <v>0</v>
      </c>
      <c r="N8" s="1">
        <v>1</v>
      </c>
      <c r="O8" s="1">
        <v>0</v>
      </c>
      <c r="P8" s="1" t="s">
        <v>370</v>
      </c>
      <c r="Q8" s="1">
        <v>0</v>
      </c>
      <c r="R8" s="1" t="s">
        <v>538</v>
      </c>
      <c r="S8" s="1">
        <v>2</v>
      </c>
      <c r="T8" s="1">
        <v>0</v>
      </c>
      <c r="U8" s="1">
        <v>0</v>
      </c>
      <c r="AA8" s="1">
        <v>1</v>
      </c>
      <c r="AE8" s="1">
        <v>10375</v>
      </c>
      <c r="AF8" s="1">
        <v>2010</v>
      </c>
      <c r="AG8" s="1" t="s">
        <v>277</v>
      </c>
      <c r="AH8" s="1">
        <v>0</v>
      </c>
      <c r="AI8" s="1">
        <v>2010</v>
      </c>
      <c r="AJ8" s="5" t="s">
        <v>394</v>
      </c>
      <c r="AK8" s="1" t="s">
        <v>95</v>
      </c>
      <c r="AL8" s="1" t="s">
        <v>271</v>
      </c>
      <c r="AO8" s="1" t="s">
        <v>96</v>
      </c>
      <c r="AP8" s="1" t="s">
        <v>23</v>
      </c>
      <c r="AQ8" s="1">
        <f>(341.2/151.37)^2</f>
        <v>5.0808739778984267</v>
      </c>
      <c r="AR8" s="1" t="s">
        <v>311</v>
      </c>
      <c r="AS8" s="1">
        <v>0</v>
      </c>
      <c r="AU8" s="1">
        <f>AVERAGE(321.044, 488.371, 676.661, 364.405)</f>
        <v>462.62025</v>
      </c>
      <c r="AV8" s="1">
        <f>AVERAGE(151.37,162.57,155.52,207.59)</f>
        <v>169.26250000000002</v>
      </c>
      <c r="AX8" s="1">
        <v>0</v>
      </c>
      <c r="BB8" s="1" t="s">
        <v>276</v>
      </c>
      <c r="BE8" s="1">
        <v>4</v>
      </c>
      <c r="BF8" s="1">
        <v>0</v>
      </c>
      <c r="BG8" s="1">
        <v>0</v>
      </c>
      <c r="BJ8" s="1">
        <v>0</v>
      </c>
      <c r="BQ8" s="1">
        <v>1</v>
      </c>
      <c r="BR8" s="1" t="s">
        <v>97</v>
      </c>
    </row>
    <row r="9" spans="1:70" ht="204" x14ac:dyDescent="0.2">
      <c r="A9" s="1" t="s">
        <v>255</v>
      </c>
      <c r="B9" s="1" t="s">
        <v>272</v>
      </c>
      <c r="C9" s="1">
        <v>2022</v>
      </c>
      <c r="D9" s="1" t="s">
        <v>94</v>
      </c>
      <c r="E9" s="1" t="s">
        <v>95</v>
      </c>
      <c r="F9" s="1" t="s">
        <v>351</v>
      </c>
      <c r="G9" s="1">
        <f>3.084/43.2</f>
        <v>7.1388888888888891E-2</v>
      </c>
      <c r="H9" s="1">
        <f>2.248/43.2</f>
        <v>5.2037037037037041E-2</v>
      </c>
      <c r="I9" s="1" t="s">
        <v>501</v>
      </c>
      <c r="M9" s="1">
        <v>1</v>
      </c>
      <c r="N9" s="1">
        <v>0</v>
      </c>
      <c r="O9" s="1">
        <v>0</v>
      </c>
      <c r="P9" s="1" t="s">
        <v>370</v>
      </c>
      <c r="Q9" s="1">
        <v>0</v>
      </c>
      <c r="R9" s="1" t="s">
        <v>538</v>
      </c>
      <c r="S9" s="1">
        <v>2</v>
      </c>
      <c r="T9" s="1">
        <v>0</v>
      </c>
      <c r="U9" s="1">
        <v>0</v>
      </c>
      <c r="AA9" s="1">
        <v>1</v>
      </c>
      <c r="AE9" s="1">
        <v>10375</v>
      </c>
      <c r="AF9" s="1">
        <v>2010</v>
      </c>
      <c r="AG9" s="1" t="s">
        <v>277</v>
      </c>
      <c r="AH9" s="1">
        <v>0</v>
      </c>
      <c r="AI9" s="1">
        <v>2010</v>
      </c>
      <c r="AJ9" s="5" t="s">
        <v>502</v>
      </c>
      <c r="AK9" s="1" t="s">
        <v>95</v>
      </c>
      <c r="AL9" s="1" t="s">
        <v>271</v>
      </c>
      <c r="AO9" s="1" t="s">
        <v>96</v>
      </c>
      <c r="AP9" s="1" t="s">
        <v>23</v>
      </c>
      <c r="AQ9" s="1">
        <f>(298/160)^2</f>
        <v>3.4689062500000003</v>
      </c>
      <c r="AR9" s="1" t="s">
        <v>504</v>
      </c>
      <c r="AS9" s="1">
        <v>0</v>
      </c>
      <c r="AU9" s="1">
        <f>AVERAGE(330.718,321.145,421.254,312.184)</f>
        <v>346.32525000000004</v>
      </c>
      <c r="AV9" s="1">
        <f>AVERAGE(178.073, 184.381, 186.853, 238.141)</f>
        <v>196.86199999999999</v>
      </c>
      <c r="AX9" s="1">
        <v>0</v>
      </c>
      <c r="BB9" s="1" t="s">
        <v>503</v>
      </c>
      <c r="BC9" s="1" t="s">
        <v>512</v>
      </c>
      <c r="BD9" s="1" t="s">
        <v>505</v>
      </c>
      <c r="BE9" s="1">
        <v>4</v>
      </c>
      <c r="BF9" s="1">
        <v>0</v>
      </c>
      <c r="BG9" s="1">
        <v>0</v>
      </c>
      <c r="BJ9" s="1">
        <v>1</v>
      </c>
      <c r="BQ9" s="1">
        <v>1</v>
      </c>
      <c r="BR9" s="1" t="s">
        <v>97</v>
      </c>
    </row>
    <row r="10" spans="1:70" ht="187" x14ac:dyDescent="0.2">
      <c r="B10" s="1" t="s">
        <v>272</v>
      </c>
      <c r="C10" s="1">
        <v>2022</v>
      </c>
      <c r="D10" s="1" t="s">
        <v>94</v>
      </c>
      <c r="E10" s="1" t="s">
        <v>269</v>
      </c>
      <c r="F10" s="1" t="s">
        <v>371</v>
      </c>
      <c r="G10" s="1">
        <f>0.344*0.39</f>
        <v>0.13416</v>
      </c>
      <c r="H10" s="1">
        <f>0.165*0.39</f>
        <v>6.4350000000000004E-2</v>
      </c>
      <c r="I10" s="1" t="s">
        <v>508</v>
      </c>
      <c r="M10" s="1">
        <v>0</v>
      </c>
      <c r="N10" s="1">
        <v>1</v>
      </c>
      <c r="O10" s="1">
        <v>0</v>
      </c>
      <c r="P10" s="1" t="s">
        <v>370</v>
      </c>
      <c r="Q10" s="1">
        <v>0</v>
      </c>
      <c r="R10" s="1" t="s">
        <v>538</v>
      </c>
      <c r="S10" s="1">
        <v>2</v>
      </c>
      <c r="T10" s="1">
        <v>0</v>
      </c>
      <c r="U10" s="1">
        <v>0</v>
      </c>
      <c r="AA10" s="1">
        <v>0</v>
      </c>
      <c r="AB10" s="1">
        <v>0.39</v>
      </c>
      <c r="AC10" s="1">
        <f>SQRT(AB10*(1-AB10))</f>
        <v>0.48774993593028793</v>
      </c>
      <c r="AD10" s="1" t="s">
        <v>64</v>
      </c>
      <c r="AE10" s="1">
        <v>10375</v>
      </c>
      <c r="AF10" s="1">
        <v>2010</v>
      </c>
      <c r="AG10" s="1" t="s">
        <v>277</v>
      </c>
      <c r="AH10" s="1">
        <v>0</v>
      </c>
      <c r="AI10" s="1">
        <v>2010</v>
      </c>
      <c r="AJ10" s="5" t="s">
        <v>394</v>
      </c>
      <c r="AK10" s="1" t="s">
        <v>95</v>
      </c>
      <c r="AL10" s="1" t="s">
        <v>271</v>
      </c>
      <c r="AO10" s="1" t="s">
        <v>96</v>
      </c>
      <c r="AP10" s="1" t="s">
        <v>23</v>
      </c>
      <c r="AQ10" s="1">
        <f>(341.2/151.37)^2</f>
        <v>5.0808739778984267</v>
      </c>
      <c r="AR10" s="1" t="s">
        <v>311</v>
      </c>
      <c r="AS10" s="1">
        <v>0</v>
      </c>
      <c r="AU10" s="1">
        <f>AVERAGE(321.044,488.371,676.661, 364.405, 534.169, 458.956, 345.088, -108.056, 377.823, 264.433)</f>
        <v>372.2894</v>
      </c>
      <c r="AV10" s="1">
        <f>SQRT(AVERAGE(243.057^2,251.682^2,247.471^2,320.818^2,316.11^2,303.967^2,295.556^2,318.081^2,435.931^2,422.032^2))</f>
        <v>321.80487970336929</v>
      </c>
      <c r="AX10" s="1">
        <v>0</v>
      </c>
      <c r="BB10" s="1" t="s">
        <v>509</v>
      </c>
      <c r="BE10" s="1">
        <v>10</v>
      </c>
      <c r="BF10" s="1">
        <v>0</v>
      </c>
      <c r="BG10" s="1">
        <v>0</v>
      </c>
      <c r="BJ10" s="1">
        <v>1</v>
      </c>
      <c r="BQ10" s="1">
        <v>1</v>
      </c>
      <c r="BR10" s="1" t="s">
        <v>97</v>
      </c>
    </row>
    <row r="11" spans="1:70" ht="221" x14ac:dyDescent="0.2">
      <c r="B11" s="1" t="s">
        <v>272</v>
      </c>
      <c r="C11" s="1">
        <v>2022</v>
      </c>
      <c r="D11" s="1" t="s">
        <v>94</v>
      </c>
      <c r="E11" s="1" t="s">
        <v>269</v>
      </c>
      <c r="F11" s="1" t="s">
        <v>371</v>
      </c>
      <c r="G11" s="1">
        <f>0.195*0.39</f>
        <v>7.6050000000000006E-2</v>
      </c>
      <c r="H11" s="1">
        <f>0.08*0.39</f>
        <v>3.1200000000000002E-2</v>
      </c>
      <c r="I11" s="1" t="s">
        <v>507</v>
      </c>
      <c r="M11" s="1">
        <v>1</v>
      </c>
      <c r="N11" s="1">
        <v>0</v>
      </c>
      <c r="O11" s="1">
        <v>0</v>
      </c>
      <c r="P11" s="1" t="s">
        <v>370</v>
      </c>
      <c r="Q11" s="1">
        <v>0</v>
      </c>
      <c r="R11" s="1" t="s">
        <v>538</v>
      </c>
      <c r="S11" s="1">
        <v>2</v>
      </c>
      <c r="T11" s="1">
        <v>0</v>
      </c>
      <c r="U11" s="1">
        <v>0</v>
      </c>
      <c r="AA11" s="1">
        <v>0</v>
      </c>
      <c r="AB11" s="1">
        <v>0.39</v>
      </c>
      <c r="AC11" s="1">
        <f>SQRT(AB11*(1-AB11))</f>
        <v>0.48774993593028793</v>
      </c>
      <c r="AD11" s="1" t="s">
        <v>64</v>
      </c>
      <c r="AE11" s="1">
        <v>10375</v>
      </c>
      <c r="AF11" s="1">
        <v>2010</v>
      </c>
      <c r="AG11" s="1" t="s">
        <v>277</v>
      </c>
      <c r="AH11" s="1">
        <v>0</v>
      </c>
      <c r="AI11" s="1">
        <v>2010</v>
      </c>
      <c r="AJ11" s="5" t="s">
        <v>394</v>
      </c>
      <c r="AK11" s="1" t="s">
        <v>95</v>
      </c>
      <c r="AL11" s="1" t="s">
        <v>271</v>
      </c>
      <c r="AO11" s="1" t="s">
        <v>96</v>
      </c>
      <c r="AP11" s="1" t="s">
        <v>23</v>
      </c>
      <c r="AQ11" s="1">
        <f>(298/160)^2</f>
        <v>3.4689062500000003</v>
      </c>
      <c r="AR11" s="1" t="s">
        <v>504</v>
      </c>
      <c r="AS11" s="1">
        <v>0</v>
      </c>
      <c r="AU11" s="1">
        <f>AVERAGE(330.718,321.145,421.254,312.184,409.538,417.421,259.092,70.958,207.646,147.474)</f>
        <v>289.74300000000005</v>
      </c>
      <c r="AV11" s="1">
        <f>SQRT(AVERAGE(178.073^2,184.381^2,186.853^2,238.141^2,230.122^2,220.806^2,204.467^2,198.941^2,263.746^2,287.604^2))</f>
        <v>221.96964643887685</v>
      </c>
      <c r="AX11" s="1">
        <v>0</v>
      </c>
      <c r="BB11" s="1" t="s">
        <v>503</v>
      </c>
      <c r="BC11" s="1" t="s">
        <v>513</v>
      </c>
      <c r="BD11" s="1" t="s">
        <v>594</v>
      </c>
      <c r="BE11" s="1">
        <v>10</v>
      </c>
      <c r="BF11" s="1">
        <v>0</v>
      </c>
      <c r="BG11" s="1">
        <v>0</v>
      </c>
      <c r="BJ11" s="1">
        <v>1</v>
      </c>
      <c r="BQ11" s="1">
        <v>1</v>
      </c>
      <c r="BR11" s="1" t="s">
        <v>97</v>
      </c>
    </row>
    <row r="12" spans="1:70" ht="187" x14ac:dyDescent="0.2">
      <c r="A12" s="1" t="s">
        <v>255</v>
      </c>
      <c r="B12" s="1" t="s">
        <v>272</v>
      </c>
      <c r="C12" s="1">
        <v>2022</v>
      </c>
      <c r="D12" s="1" t="s">
        <v>94</v>
      </c>
      <c r="E12" s="1" t="s">
        <v>270</v>
      </c>
      <c r="F12" s="1" t="s">
        <v>351</v>
      </c>
      <c r="G12" s="7">
        <v>-5.6713E-2</v>
      </c>
      <c r="H12" s="7">
        <v>3.5179599999999998E-2</v>
      </c>
      <c r="M12" s="1">
        <v>1</v>
      </c>
      <c r="N12" s="1">
        <v>0</v>
      </c>
      <c r="O12" s="1">
        <v>0</v>
      </c>
      <c r="P12" s="1" t="s">
        <v>370</v>
      </c>
      <c r="Q12" s="1">
        <v>0</v>
      </c>
      <c r="R12" s="1" t="s">
        <v>538</v>
      </c>
      <c r="S12" s="1">
        <v>2</v>
      </c>
      <c r="T12" s="1">
        <v>0</v>
      </c>
      <c r="U12" s="1">
        <v>0</v>
      </c>
      <c r="AA12" s="1">
        <v>1</v>
      </c>
      <c r="AE12" s="1">
        <v>10375</v>
      </c>
      <c r="AF12" s="1">
        <v>2010</v>
      </c>
      <c r="AG12" s="1" t="s">
        <v>277</v>
      </c>
      <c r="AH12" s="1">
        <v>0</v>
      </c>
      <c r="AI12" s="1">
        <v>2018</v>
      </c>
      <c r="AJ12" s="5" t="s">
        <v>394</v>
      </c>
      <c r="AK12" s="1" t="s">
        <v>95</v>
      </c>
      <c r="AL12" s="1" t="s">
        <v>271</v>
      </c>
      <c r="AM12" s="1" t="s">
        <v>531</v>
      </c>
      <c r="AN12" s="1">
        <v>15</v>
      </c>
      <c r="AO12" s="1" t="s">
        <v>59</v>
      </c>
      <c r="AP12" s="1" t="s">
        <v>23</v>
      </c>
      <c r="AQ12" s="1">
        <f>(4100/((200)/1.65))^2</f>
        <v>1144.1306249999998</v>
      </c>
      <c r="AR12" s="1" t="s">
        <v>287</v>
      </c>
      <c r="AS12" s="1">
        <v>0</v>
      </c>
      <c r="AT12" s="1">
        <v>359.17410000000001</v>
      </c>
      <c r="AU12" s="1">
        <v>300.29739999999998</v>
      </c>
      <c r="AW12" s="1">
        <v>254.72399999999999</v>
      </c>
      <c r="AX12" s="1">
        <v>0</v>
      </c>
      <c r="BB12" s="1" t="s">
        <v>312</v>
      </c>
      <c r="BC12" s="1" t="s">
        <v>506</v>
      </c>
      <c r="BD12" s="8" t="s">
        <v>514</v>
      </c>
      <c r="BE12" s="1">
        <v>4</v>
      </c>
      <c r="BF12" s="1">
        <v>0</v>
      </c>
      <c r="BG12" s="1">
        <v>0</v>
      </c>
      <c r="BH12" s="8">
        <v>378.30739999999997</v>
      </c>
      <c r="BI12" s="8">
        <v>226.3682</v>
      </c>
      <c r="BJ12" s="1">
        <v>1</v>
      </c>
      <c r="BQ12" s="1">
        <v>1</v>
      </c>
      <c r="BR12" s="1" t="s">
        <v>97</v>
      </c>
    </row>
    <row r="13" spans="1:70" ht="187" x14ac:dyDescent="0.2">
      <c r="A13" s="1" t="s">
        <v>255</v>
      </c>
      <c r="B13" s="1" t="s">
        <v>272</v>
      </c>
      <c r="C13" s="1">
        <v>2022</v>
      </c>
      <c r="D13" s="1" t="s">
        <v>94</v>
      </c>
      <c r="E13" s="1" t="s">
        <v>270</v>
      </c>
      <c r="F13" s="1" t="s">
        <v>351</v>
      </c>
      <c r="G13" s="7">
        <v>-0.11562500000000001</v>
      </c>
      <c r="H13" s="7">
        <v>6.4421300000000001E-2</v>
      </c>
      <c r="M13" s="1">
        <v>0</v>
      </c>
      <c r="N13" s="1">
        <v>0</v>
      </c>
      <c r="O13" s="1">
        <v>1</v>
      </c>
      <c r="P13" s="1" t="s">
        <v>370</v>
      </c>
      <c r="Q13" s="1">
        <v>0</v>
      </c>
      <c r="R13" s="1" t="s">
        <v>538</v>
      </c>
      <c r="S13" s="1">
        <v>2</v>
      </c>
      <c r="T13" s="1">
        <v>0</v>
      </c>
      <c r="U13" s="1">
        <v>0</v>
      </c>
      <c r="AA13" s="1">
        <v>1</v>
      </c>
      <c r="AI13" s="1">
        <v>2018</v>
      </c>
      <c r="AJ13" s="5" t="s">
        <v>394</v>
      </c>
      <c r="AK13" s="1" t="s">
        <v>95</v>
      </c>
      <c r="AO13" s="1" t="s">
        <v>59</v>
      </c>
      <c r="AT13" s="1">
        <v>329.54219999999998</v>
      </c>
      <c r="AU13" s="1">
        <v>275.52289999999999</v>
      </c>
      <c r="AW13" s="1">
        <v>233.70930000000001</v>
      </c>
      <c r="AX13" s="1">
        <v>0</v>
      </c>
      <c r="BD13" s="8"/>
      <c r="BE13" s="1">
        <v>4</v>
      </c>
      <c r="BF13" s="1">
        <v>0</v>
      </c>
      <c r="BG13" s="1">
        <v>0</v>
      </c>
      <c r="BH13" s="8">
        <v>347.09710000000001</v>
      </c>
      <c r="BI13" s="8">
        <v>207.69280000000001</v>
      </c>
      <c r="BJ13" s="1">
        <v>1</v>
      </c>
      <c r="BQ13" s="1">
        <v>1</v>
      </c>
    </row>
    <row r="14" spans="1:70" ht="187" x14ac:dyDescent="0.2">
      <c r="A14" s="1" t="s">
        <v>255</v>
      </c>
      <c r="B14" s="1" t="s">
        <v>272</v>
      </c>
      <c r="C14" s="1">
        <v>2022</v>
      </c>
      <c r="D14" s="1" t="s">
        <v>94</v>
      </c>
      <c r="E14" s="1" t="s">
        <v>270</v>
      </c>
      <c r="F14" s="1" t="s">
        <v>351</v>
      </c>
      <c r="G14" s="7">
        <v>-5.5740699999999997E-2</v>
      </c>
      <c r="H14" s="7">
        <v>8.2152799999999998E-2</v>
      </c>
      <c r="M14" s="1">
        <v>0</v>
      </c>
      <c r="N14" s="1">
        <v>1</v>
      </c>
      <c r="O14" s="1">
        <v>0</v>
      </c>
      <c r="P14" s="1" t="s">
        <v>370</v>
      </c>
      <c r="Q14" s="1">
        <v>0</v>
      </c>
      <c r="R14" s="1" t="s">
        <v>538</v>
      </c>
      <c r="S14" s="1">
        <v>2</v>
      </c>
      <c r="T14" s="1">
        <v>0</v>
      </c>
      <c r="U14" s="1">
        <v>0</v>
      </c>
      <c r="AA14" s="1">
        <v>1</v>
      </c>
      <c r="AI14" s="1">
        <v>2018</v>
      </c>
      <c r="AJ14" s="5" t="s">
        <v>394</v>
      </c>
      <c r="AK14" s="1" t="s">
        <v>95</v>
      </c>
      <c r="AO14" s="1" t="s">
        <v>59</v>
      </c>
      <c r="AT14" s="1">
        <v>392.80579999999998</v>
      </c>
      <c r="AU14" s="1">
        <v>328.4162</v>
      </c>
      <c r="AW14" s="1">
        <v>278.57549999999998</v>
      </c>
      <c r="AX14" s="1">
        <v>0</v>
      </c>
      <c r="BD14" s="8"/>
      <c r="BE14" s="1">
        <v>4</v>
      </c>
      <c r="BF14" s="1">
        <v>0</v>
      </c>
      <c r="BG14" s="1">
        <v>0</v>
      </c>
      <c r="BH14" s="8">
        <v>413.73079999999999</v>
      </c>
      <c r="BI14" s="8">
        <v>247.56450000000001</v>
      </c>
      <c r="BJ14" s="1">
        <v>1</v>
      </c>
      <c r="BQ14" s="1">
        <v>1</v>
      </c>
    </row>
    <row r="15" spans="1:70" ht="255" x14ac:dyDescent="0.2">
      <c r="B15" s="2"/>
      <c r="C15" s="2"/>
      <c r="D15" s="1" t="s">
        <v>344</v>
      </c>
      <c r="E15" s="1" t="s">
        <v>98</v>
      </c>
      <c r="F15" s="9" t="s">
        <v>373</v>
      </c>
      <c r="G15" s="1">
        <v>10</v>
      </c>
      <c r="H15" s="1">
        <v>8</v>
      </c>
      <c r="I15" s="1" t="s">
        <v>376</v>
      </c>
      <c r="M15" s="1">
        <v>1</v>
      </c>
      <c r="N15" s="1">
        <v>0</v>
      </c>
      <c r="O15" s="1">
        <v>0</v>
      </c>
      <c r="P15" s="1" t="s">
        <v>343</v>
      </c>
      <c r="Q15" s="1">
        <v>0</v>
      </c>
      <c r="U15" s="1">
        <v>0</v>
      </c>
      <c r="AA15" s="1">
        <v>1</v>
      </c>
      <c r="AI15" s="1">
        <v>2000</v>
      </c>
      <c r="AK15" s="1" t="s">
        <v>98</v>
      </c>
      <c r="AO15" s="1" t="s">
        <v>126</v>
      </c>
      <c r="AP15" s="1" t="s">
        <v>586</v>
      </c>
      <c r="AU15" s="1">
        <v>100</v>
      </c>
      <c r="AX15" s="1">
        <v>0</v>
      </c>
      <c r="BE15" s="9">
        <v>4</v>
      </c>
      <c r="BF15" s="1">
        <v>0</v>
      </c>
      <c r="BG15" s="1">
        <v>0</v>
      </c>
      <c r="BJ15" s="1">
        <v>0</v>
      </c>
      <c r="BQ15" s="1">
        <v>1</v>
      </c>
    </row>
    <row r="16" spans="1:70" ht="170" x14ac:dyDescent="0.2">
      <c r="A16" s="1" t="s">
        <v>603</v>
      </c>
      <c r="B16" s="1" t="s">
        <v>40</v>
      </c>
      <c r="C16" s="1">
        <v>2020</v>
      </c>
      <c r="D16" s="1" t="s">
        <v>41</v>
      </c>
      <c r="E16" s="1" t="s">
        <v>28</v>
      </c>
      <c r="F16" s="1" t="s">
        <v>351</v>
      </c>
      <c r="G16" s="1">
        <f>0.004*4</f>
        <v>1.6E-2</v>
      </c>
      <c r="H16" s="1">
        <f>0.002*4</f>
        <v>8.0000000000000002E-3</v>
      </c>
      <c r="I16" s="1" t="s">
        <v>479</v>
      </c>
      <c r="M16" s="1">
        <v>0</v>
      </c>
      <c r="N16" s="1">
        <v>0</v>
      </c>
      <c r="O16" s="1">
        <v>1</v>
      </c>
      <c r="P16" s="1" t="s">
        <v>313</v>
      </c>
      <c r="Q16" s="1">
        <v>1</v>
      </c>
      <c r="R16" s="1" t="s">
        <v>199</v>
      </c>
      <c r="S16" s="1">
        <v>0</v>
      </c>
      <c r="T16" s="1">
        <v>0</v>
      </c>
      <c r="U16" s="1">
        <v>1</v>
      </c>
      <c r="AA16" s="1">
        <v>1</v>
      </c>
      <c r="AE16" s="1">
        <v>9347</v>
      </c>
      <c r="AF16" s="1">
        <v>2015</v>
      </c>
      <c r="AG16" s="1" t="s">
        <v>136</v>
      </c>
      <c r="AH16" s="1">
        <v>0</v>
      </c>
      <c r="AI16" s="1">
        <v>2015</v>
      </c>
      <c r="AJ16" s="5" t="s">
        <v>395</v>
      </c>
      <c r="AK16" s="1" t="s">
        <v>28</v>
      </c>
      <c r="AL16" s="1" t="s">
        <v>172</v>
      </c>
      <c r="AO16" s="1" t="s">
        <v>126</v>
      </c>
      <c r="AP16" s="1" t="s">
        <v>586</v>
      </c>
      <c r="AQ16" s="1">
        <f>(0.498/0.078)^2</f>
        <v>40.76331360946746</v>
      </c>
      <c r="AR16" s="1" t="s">
        <v>64</v>
      </c>
      <c r="AU16" s="1">
        <v>498</v>
      </c>
      <c r="AV16" s="1">
        <v>78</v>
      </c>
      <c r="AX16" s="1">
        <v>0</v>
      </c>
      <c r="BB16" s="1" t="s">
        <v>44</v>
      </c>
      <c r="BE16" s="1">
        <v>4</v>
      </c>
      <c r="BF16" s="1">
        <v>0</v>
      </c>
      <c r="BG16" s="1">
        <v>0</v>
      </c>
      <c r="BJ16" s="1">
        <v>0</v>
      </c>
      <c r="BQ16" s="1">
        <v>1</v>
      </c>
    </row>
    <row r="17" spans="1:70" ht="170" x14ac:dyDescent="0.2">
      <c r="A17" s="1" t="s">
        <v>603</v>
      </c>
      <c r="B17" s="1" t="s">
        <v>40</v>
      </c>
      <c r="C17" s="1">
        <v>2020</v>
      </c>
      <c r="D17" s="1" t="s">
        <v>41</v>
      </c>
      <c r="E17" s="1" t="s">
        <v>28</v>
      </c>
      <c r="F17" s="1" t="s">
        <v>351</v>
      </c>
      <c r="G17" s="1">
        <f>0.009*4</f>
        <v>3.5999999999999997E-2</v>
      </c>
      <c r="H17" s="1">
        <f>0.002*4</f>
        <v>8.0000000000000002E-3</v>
      </c>
      <c r="I17" s="1" t="s">
        <v>43</v>
      </c>
      <c r="M17" s="1">
        <v>0</v>
      </c>
      <c r="N17" s="1">
        <v>1</v>
      </c>
      <c r="O17" s="1">
        <v>0</v>
      </c>
      <c r="P17" s="1" t="s">
        <v>313</v>
      </c>
      <c r="Q17" s="1">
        <v>1</v>
      </c>
      <c r="R17" s="1" t="s">
        <v>199</v>
      </c>
      <c r="S17" s="1">
        <v>0</v>
      </c>
      <c r="T17" s="1">
        <v>0</v>
      </c>
      <c r="U17" s="1">
        <v>1</v>
      </c>
      <c r="AA17" s="1">
        <v>1</v>
      </c>
      <c r="AE17" s="1">
        <v>9347</v>
      </c>
      <c r="AF17" s="1">
        <v>2015</v>
      </c>
      <c r="AG17" s="1" t="s">
        <v>136</v>
      </c>
      <c r="AH17" s="1">
        <v>0</v>
      </c>
      <c r="AI17" s="1">
        <v>2015</v>
      </c>
      <c r="AJ17" s="5" t="s">
        <v>395</v>
      </c>
      <c r="AK17" s="1" t="s">
        <v>28</v>
      </c>
      <c r="AL17" s="1" t="s">
        <v>172</v>
      </c>
      <c r="AO17" s="1" t="s">
        <v>126</v>
      </c>
      <c r="AP17" s="1" t="s">
        <v>586</v>
      </c>
      <c r="AQ17" s="1">
        <f>(0.498/0.078)^2</f>
        <v>40.76331360946746</v>
      </c>
      <c r="AR17" s="1" t="s">
        <v>64</v>
      </c>
      <c r="AS17" s="1">
        <v>0</v>
      </c>
      <c r="AU17" s="1">
        <v>498</v>
      </c>
      <c r="AV17" s="1">
        <v>78</v>
      </c>
      <c r="AX17" s="1">
        <v>0</v>
      </c>
      <c r="BB17" s="1" t="s">
        <v>44</v>
      </c>
      <c r="BE17" s="1">
        <v>4</v>
      </c>
      <c r="BF17" s="1">
        <v>0</v>
      </c>
      <c r="BG17" s="1">
        <v>0</v>
      </c>
      <c r="BJ17" s="1">
        <v>0</v>
      </c>
      <c r="BQ17" s="1">
        <v>1</v>
      </c>
    </row>
    <row r="18" spans="1:70" ht="170" x14ac:dyDescent="0.2">
      <c r="A18" s="1" t="s">
        <v>603</v>
      </c>
      <c r="B18" s="1" t="s">
        <v>40</v>
      </c>
      <c r="C18" s="1">
        <v>2020</v>
      </c>
      <c r="D18" s="1" t="s">
        <v>41</v>
      </c>
      <c r="E18" s="1" t="s">
        <v>28</v>
      </c>
      <c r="F18" s="1" t="s">
        <v>351</v>
      </c>
      <c r="G18" s="1">
        <f>4*0.007</f>
        <v>2.8000000000000001E-2</v>
      </c>
      <c r="H18" s="1">
        <f>4*0.002</f>
        <v>8.0000000000000002E-3</v>
      </c>
      <c r="I18" s="1" t="s">
        <v>127</v>
      </c>
      <c r="M18" s="1">
        <v>1</v>
      </c>
      <c r="N18" s="1">
        <v>0</v>
      </c>
      <c r="O18" s="1">
        <v>0</v>
      </c>
      <c r="P18" s="1" t="s">
        <v>278</v>
      </c>
      <c r="Q18" s="1">
        <v>1</v>
      </c>
      <c r="R18" s="1" t="s">
        <v>199</v>
      </c>
      <c r="S18" s="1">
        <v>0</v>
      </c>
      <c r="T18" s="1">
        <v>0</v>
      </c>
      <c r="U18" s="1">
        <v>1</v>
      </c>
      <c r="AA18" s="1">
        <v>1</v>
      </c>
      <c r="AE18" s="1">
        <v>9347</v>
      </c>
      <c r="AF18" s="1">
        <v>2015</v>
      </c>
      <c r="AG18" s="1" t="s">
        <v>136</v>
      </c>
      <c r="AH18" s="1">
        <v>0</v>
      </c>
      <c r="AI18" s="1">
        <v>2015</v>
      </c>
      <c r="AJ18" s="5" t="s">
        <v>42</v>
      </c>
      <c r="AK18" s="1" t="s">
        <v>28</v>
      </c>
      <c r="AL18" s="1" t="s">
        <v>172</v>
      </c>
      <c r="AO18" s="1" t="s">
        <v>126</v>
      </c>
      <c r="AP18" s="1" t="s">
        <v>587</v>
      </c>
      <c r="AQ18" s="1">
        <f>(0.498/0.078)^2</f>
        <v>40.76331360946746</v>
      </c>
      <c r="AR18" s="1" t="s">
        <v>64</v>
      </c>
      <c r="AS18" s="1">
        <v>0</v>
      </c>
      <c r="AU18" s="1">
        <v>498</v>
      </c>
      <c r="AV18" s="1">
        <v>78</v>
      </c>
      <c r="AX18" s="1">
        <v>0</v>
      </c>
      <c r="BB18" s="1" t="s">
        <v>44</v>
      </c>
      <c r="BC18" s="1" t="s">
        <v>415</v>
      </c>
      <c r="BD18" s="1" t="s">
        <v>416</v>
      </c>
      <c r="BE18" s="1">
        <v>4</v>
      </c>
      <c r="BF18" s="1">
        <v>0</v>
      </c>
      <c r="BG18" s="1">
        <v>0</v>
      </c>
      <c r="BJ18" s="1">
        <v>0</v>
      </c>
      <c r="BQ18" s="1">
        <v>1</v>
      </c>
    </row>
    <row r="19" spans="1:70" ht="187" x14ac:dyDescent="0.2">
      <c r="B19" s="1" t="s">
        <v>145</v>
      </c>
      <c r="C19" s="1">
        <v>2019</v>
      </c>
      <c r="D19" s="1" t="s">
        <v>203</v>
      </c>
      <c r="E19" s="1" t="s">
        <v>193</v>
      </c>
      <c r="F19" s="1" t="s">
        <v>369</v>
      </c>
      <c r="G19" s="1">
        <v>0.72499999999999998</v>
      </c>
      <c r="H19" s="1">
        <v>2</v>
      </c>
      <c r="I19" s="1" t="s">
        <v>478</v>
      </c>
      <c r="M19" s="1">
        <v>0</v>
      </c>
      <c r="N19" s="1">
        <v>0</v>
      </c>
      <c r="O19" s="1">
        <v>1</v>
      </c>
      <c r="P19" s="1" t="s">
        <v>204</v>
      </c>
      <c r="Q19" s="1">
        <v>1</v>
      </c>
      <c r="R19" s="1" t="s">
        <v>199</v>
      </c>
      <c r="S19" s="1">
        <v>0</v>
      </c>
      <c r="T19" s="1">
        <v>0</v>
      </c>
      <c r="U19" s="1">
        <v>0</v>
      </c>
      <c r="AA19" s="1">
        <v>0</v>
      </c>
      <c r="AB19" s="1">
        <v>77</v>
      </c>
      <c r="AC19" s="1">
        <f>100*(SQRT(AB19/100*(1-(AB19/100))))</f>
        <v>42.08325082500162</v>
      </c>
      <c r="AD19" s="1" t="s">
        <v>206</v>
      </c>
      <c r="AE19" s="1">
        <v>7950.2</v>
      </c>
      <c r="AF19" s="1">
        <v>2010</v>
      </c>
      <c r="AG19" s="1" t="s">
        <v>207</v>
      </c>
      <c r="AH19" s="1">
        <v>0</v>
      </c>
      <c r="AI19" s="1">
        <v>2010</v>
      </c>
      <c r="AJ19" s="5" t="s">
        <v>396</v>
      </c>
      <c r="AK19" s="1" t="s">
        <v>193</v>
      </c>
      <c r="AO19" s="1" t="s">
        <v>126</v>
      </c>
      <c r="AP19" s="1" t="s">
        <v>587</v>
      </c>
      <c r="AQ19" s="1">
        <f>(0.073/0.024)^2</f>
        <v>9.2517361111111107</v>
      </c>
      <c r="AR19" s="1" t="s">
        <v>46</v>
      </c>
      <c r="AS19" s="1">
        <v>0</v>
      </c>
      <c r="AU19" s="1">
        <f>0.1*AE19</f>
        <v>795.02</v>
      </c>
      <c r="AX19" s="1">
        <v>0</v>
      </c>
      <c r="BE19" s="1">
        <v>4</v>
      </c>
      <c r="BF19" s="1">
        <v>0</v>
      </c>
      <c r="BG19" s="1">
        <v>0</v>
      </c>
      <c r="BJ19" s="1">
        <v>0</v>
      </c>
      <c r="BQ19" s="1">
        <v>1</v>
      </c>
      <c r="BR19" s="1" t="s">
        <v>205</v>
      </c>
    </row>
    <row r="20" spans="1:70" ht="187" x14ac:dyDescent="0.2">
      <c r="B20" s="1" t="s">
        <v>145</v>
      </c>
      <c r="C20" s="1">
        <v>2019</v>
      </c>
      <c r="D20" s="1" t="s">
        <v>203</v>
      </c>
      <c r="E20" s="1" t="s">
        <v>193</v>
      </c>
      <c r="F20" s="1" t="s">
        <v>369</v>
      </c>
      <c r="G20" s="1">
        <v>5.0599999999999996</v>
      </c>
      <c r="H20" s="1">
        <v>2.93</v>
      </c>
      <c r="I20" s="1" t="s">
        <v>254</v>
      </c>
      <c r="M20" s="1">
        <v>0</v>
      </c>
      <c r="N20" s="1">
        <v>1</v>
      </c>
      <c r="O20" s="1">
        <v>0</v>
      </c>
      <c r="P20" s="1" t="s">
        <v>204</v>
      </c>
      <c r="Q20" s="1">
        <v>1</v>
      </c>
      <c r="R20" s="1" t="s">
        <v>199</v>
      </c>
      <c r="S20" s="1">
        <v>0</v>
      </c>
      <c r="T20" s="1">
        <v>0</v>
      </c>
      <c r="U20" s="1">
        <v>0</v>
      </c>
      <c r="AA20" s="1">
        <v>0</v>
      </c>
      <c r="AB20" s="1">
        <v>77</v>
      </c>
      <c r="AC20" s="1">
        <f>100*(SQRT(AB20/100*(1-(AB20/100))))</f>
        <v>42.08325082500162</v>
      </c>
      <c r="AD20" s="1" t="s">
        <v>206</v>
      </c>
      <c r="AE20" s="1">
        <v>7950.2</v>
      </c>
      <c r="AF20" s="1">
        <v>2010</v>
      </c>
      <c r="AG20" s="1" t="s">
        <v>207</v>
      </c>
      <c r="AH20" s="1">
        <v>0</v>
      </c>
      <c r="AI20" s="1">
        <v>2010</v>
      </c>
      <c r="AJ20" s="5" t="s">
        <v>396</v>
      </c>
      <c r="AK20" s="1" t="s">
        <v>193</v>
      </c>
      <c r="AO20" s="1" t="s">
        <v>126</v>
      </c>
      <c r="AP20" s="1" t="s">
        <v>587</v>
      </c>
      <c r="AQ20" s="1">
        <f>(0.073/0.024)^2</f>
        <v>9.2517361111111107</v>
      </c>
      <c r="AR20" s="1" t="s">
        <v>46</v>
      </c>
      <c r="AS20" s="1">
        <v>0</v>
      </c>
      <c r="AU20" s="1">
        <f>0.1*AE20</f>
        <v>795.02</v>
      </c>
      <c r="AX20" s="1">
        <v>0</v>
      </c>
      <c r="BE20" s="1">
        <v>4</v>
      </c>
      <c r="BF20" s="1">
        <v>0</v>
      </c>
      <c r="BG20" s="1">
        <v>0</v>
      </c>
      <c r="BJ20" s="1">
        <v>0</v>
      </c>
      <c r="BQ20" s="1">
        <v>1</v>
      </c>
      <c r="BR20" s="1" t="s">
        <v>205</v>
      </c>
    </row>
    <row r="21" spans="1:70" ht="187" x14ac:dyDescent="0.2">
      <c r="B21" s="1" t="s">
        <v>145</v>
      </c>
      <c r="C21" s="1">
        <v>2019</v>
      </c>
      <c r="D21" s="1" t="s">
        <v>203</v>
      </c>
      <c r="E21" s="1" t="s">
        <v>193</v>
      </c>
      <c r="F21" s="1" t="s">
        <v>369</v>
      </c>
      <c r="G21" s="1">
        <v>1.97</v>
      </c>
      <c r="H21" s="1">
        <v>0.51400000000000001</v>
      </c>
      <c r="I21" s="1" t="s">
        <v>208</v>
      </c>
      <c r="M21" s="1">
        <v>1</v>
      </c>
      <c r="N21" s="1">
        <v>0</v>
      </c>
      <c r="O21" s="1">
        <v>0</v>
      </c>
      <c r="P21" s="1" t="s">
        <v>204</v>
      </c>
      <c r="Q21" s="1">
        <v>1</v>
      </c>
      <c r="R21" s="1" t="s">
        <v>199</v>
      </c>
      <c r="S21" s="1">
        <v>0</v>
      </c>
      <c r="T21" s="1">
        <v>0</v>
      </c>
      <c r="U21" s="1">
        <v>0</v>
      </c>
      <c r="AA21" s="1">
        <v>0</v>
      </c>
      <c r="AB21" s="1">
        <v>77</v>
      </c>
      <c r="AC21" s="1">
        <f>100*(SQRT(AB21/100*(1-(AB21/100))))</f>
        <v>42.08325082500162</v>
      </c>
      <c r="AD21" s="1" t="s">
        <v>206</v>
      </c>
      <c r="AE21" s="1">
        <v>7950.2</v>
      </c>
      <c r="AF21" s="1">
        <v>2010</v>
      </c>
      <c r="AG21" s="1" t="s">
        <v>207</v>
      </c>
      <c r="AH21" s="1">
        <v>0</v>
      </c>
      <c r="AI21" s="1">
        <v>2010</v>
      </c>
      <c r="AJ21" s="5" t="s">
        <v>396</v>
      </c>
      <c r="AK21" s="1" t="s">
        <v>193</v>
      </c>
      <c r="AO21" s="1" t="s">
        <v>126</v>
      </c>
      <c r="AP21" s="1" t="s">
        <v>587</v>
      </c>
      <c r="AQ21" s="1">
        <f>(0.073/0.024)^2</f>
        <v>9.2517361111111107</v>
      </c>
      <c r="AR21" s="1" t="s">
        <v>46</v>
      </c>
      <c r="AS21" s="1">
        <v>0</v>
      </c>
      <c r="AU21" s="1">
        <f>0.1*AE21</f>
        <v>795.02</v>
      </c>
      <c r="AX21" s="1">
        <v>0</v>
      </c>
      <c r="BC21" s="1" t="s">
        <v>417</v>
      </c>
      <c r="BD21" s="1" t="s">
        <v>418</v>
      </c>
      <c r="BE21" s="1">
        <v>4</v>
      </c>
      <c r="BF21" s="1">
        <v>0</v>
      </c>
      <c r="BG21" s="1">
        <v>0</v>
      </c>
      <c r="BJ21" s="1">
        <v>0</v>
      </c>
      <c r="BQ21" s="1">
        <v>1</v>
      </c>
      <c r="BR21" s="1" t="s">
        <v>205</v>
      </c>
    </row>
    <row r="22" spans="1:70" ht="255" x14ac:dyDescent="0.2">
      <c r="B22" s="2"/>
      <c r="C22" s="2"/>
      <c r="D22" s="1" t="s">
        <v>362</v>
      </c>
      <c r="E22" s="1" t="s">
        <v>194</v>
      </c>
      <c r="F22" s="9" t="s">
        <v>372</v>
      </c>
      <c r="G22" s="1">
        <v>10</v>
      </c>
      <c r="H22" s="1">
        <v>0.5</v>
      </c>
      <c r="I22" s="1" t="s">
        <v>376</v>
      </c>
      <c r="M22" s="1">
        <v>1</v>
      </c>
      <c r="N22" s="1">
        <v>0</v>
      </c>
      <c r="O22" s="1">
        <v>0</v>
      </c>
      <c r="P22" s="1" t="s">
        <v>342</v>
      </c>
      <c r="Q22" s="1">
        <v>0</v>
      </c>
      <c r="U22" s="1">
        <v>0</v>
      </c>
      <c r="AA22" s="1">
        <v>1</v>
      </c>
      <c r="AI22" s="1">
        <v>2001</v>
      </c>
      <c r="AK22" s="1" t="s">
        <v>194</v>
      </c>
      <c r="AO22" s="1" t="s">
        <v>126</v>
      </c>
      <c r="AP22" s="1" t="s">
        <v>200</v>
      </c>
      <c r="AU22" s="1">
        <v>100</v>
      </c>
      <c r="AX22" s="1">
        <v>0</v>
      </c>
      <c r="BE22" s="9">
        <v>4</v>
      </c>
      <c r="BF22" s="1">
        <v>0</v>
      </c>
      <c r="BG22" s="1">
        <v>0</v>
      </c>
      <c r="BJ22" s="1">
        <v>0</v>
      </c>
      <c r="BQ22" s="1">
        <v>1</v>
      </c>
    </row>
    <row r="23" spans="1:70" ht="251" customHeight="1" x14ac:dyDescent="0.2">
      <c r="A23" s="1" t="s">
        <v>603</v>
      </c>
      <c r="B23" s="1" t="s">
        <v>597</v>
      </c>
      <c r="C23" s="1">
        <v>2018</v>
      </c>
      <c r="D23" s="1" t="s">
        <v>182</v>
      </c>
      <c r="E23" s="1" t="s">
        <v>314</v>
      </c>
      <c r="F23" s="1" t="s">
        <v>351</v>
      </c>
      <c r="G23" s="1">
        <v>0.17100000000000001</v>
      </c>
      <c r="H23" s="1">
        <v>0.107</v>
      </c>
      <c r="I23" s="1" t="s">
        <v>249</v>
      </c>
      <c r="J23" s="1">
        <v>0.221</v>
      </c>
      <c r="K23" s="1">
        <v>0.13100000000000001</v>
      </c>
      <c r="L23" s="1" t="s">
        <v>250</v>
      </c>
      <c r="M23" s="1">
        <v>1</v>
      </c>
      <c r="N23" s="1">
        <v>0</v>
      </c>
      <c r="O23" s="1">
        <v>0</v>
      </c>
      <c r="P23" s="1" t="s">
        <v>248</v>
      </c>
      <c r="Q23" s="1">
        <v>0</v>
      </c>
      <c r="R23" s="1" t="s">
        <v>542</v>
      </c>
      <c r="S23" s="1">
        <v>2</v>
      </c>
      <c r="T23" s="1">
        <v>0</v>
      </c>
      <c r="U23" s="1">
        <v>0</v>
      </c>
      <c r="AA23" s="1">
        <v>1</v>
      </c>
      <c r="AB23" s="1">
        <f>AVERAGE(-1.224,-1.265)</f>
        <v>-1.2444999999999999</v>
      </c>
      <c r="AD23" s="1" t="s">
        <v>251</v>
      </c>
      <c r="AE23" s="1">
        <v>12000</v>
      </c>
      <c r="AF23" s="1">
        <v>2010</v>
      </c>
      <c r="AG23" s="1" t="s">
        <v>450</v>
      </c>
      <c r="AH23" s="1">
        <v>1</v>
      </c>
      <c r="AI23" s="1">
        <v>2014</v>
      </c>
      <c r="AK23" s="1" t="s">
        <v>314</v>
      </c>
      <c r="AL23" s="1" t="s">
        <v>181</v>
      </c>
      <c r="AO23" s="1" t="s">
        <v>349</v>
      </c>
      <c r="AP23" s="1" t="s">
        <v>23</v>
      </c>
      <c r="AQ23" s="1">
        <f>(2572.86/1011.89)^2</f>
        <v>6.4649579156879877</v>
      </c>
      <c r="AR23" s="1" t="s">
        <v>292</v>
      </c>
      <c r="AS23" s="1">
        <v>0</v>
      </c>
      <c r="AU23" s="1">
        <f>AVERAGE(351.54,1980.886,2572.86,3289.86)</f>
        <v>2048.7865000000002</v>
      </c>
      <c r="AX23" s="1">
        <v>0</v>
      </c>
      <c r="BB23" s="1" t="s">
        <v>252</v>
      </c>
      <c r="BC23" s="1" t="s">
        <v>515</v>
      </c>
      <c r="BD23" s="1" t="s">
        <v>419</v>
      </c>
      <c r="BE23" s="1">
        <v>4</v>
      </c>
      <c r="BF23" s="1">
        <v>1</v>
      </c>
      <c r="BG23" s="1">
        <v>0</v>
      </c>
      <c r="BJ23" s="1">
        <v>0</v>
      </c>
      <c r="BQ23" s="1">
        <v>0</v>
      </c>
      <c r="BR23" s="1" t="s">
        <v>253</v>
      </c>
    </row>
    <row r="24" spans="1:70" ht="153" x14ac:dyDescent="0.2">
      <c r="B24" s="1" t="s">
        <v>272</v>
      </c>
      <c r="C24" s="1">
        <v>2013</v>
      </c>
      <c r="D24" s="1" t="s">
        <v>265</v>
      </c>
      <c r="E24" s="1" t="s">
        <v>264</v>
      </c>
      <c r="F24" s="1" t="s">
        <v>365</v>
      </c>
      <c r="G24" s="7">
        <v>-3.048E-2</v>
      </c>
      <c r="H24" s="7">
        <v>1.1298893751159901E-2</v>
      </c>
      <c r="I24" s="1" t="s">
        <v>322</v>
      </c>
      <c r="M24" s="1">
        <v>1</v>
      </c>
      <c r="N24" s="1">
        <v>0</v>
      </c>
      <c r="O24" s="1">
        <v>0</v>
      </c>
      <c r="P24" s="1" t="s">
        <v>364</v>
      </c>
      <c r="Q24" s="1">
        <v>1</v>
      </c>
      <c r="R24" s="1" t="s">
        <v>543</v>
      </c>
      <c r="S24" s="1">
        <v>1</v>
      </c>
      <c r="T24" s="1">
        <v>0</v>
      </c>
      <c r="U24" s="1">
        <v>0</v>
      </c>
      <c r="W24" s="7"/>
      <c r="X24" s="7"/>
      <c r="Y24" s="7"/>
      <c r="Z24" s="7">
        <v>1.1810059271654821E-2</v>
      </c>
      <c r="AA24" s="1">
        <v>0</v>
      </c>
      <c r="AC24" s="10">
        <v>0.46957790999999999</v>
      </c>
      <c r="AD24" s="1" t="s">
        <v>346</v>
      </c>
      <c r="AE24" s="1">
        <f>AVERAGE(1675.67,1905.66)</f>
        <v>1790.665</v>
      </c>
      <c r="AF24" s="1">
        <v>2009</v>
      </c>
      <c r="AG24" s="1" t="s">
        <v>452</v>
      </c>
      <c r="AH24" s="1">
        <v>0</v>
      </c>
      <c r="AI24" s="1">
        <v>2009</v>
      </c>
      <c r="AK24" s="1" t="s">
        <v>264</v>
      </c>
      <c r="AO24" s="1" t="s">
        <v>54</v>
      </c>
      <c r="AP24" s="1" t="s">
        <v>586</v>
      </c>
      <c r="AQ24" s="1">
        <v>16.149999999999999</v>
      </c>
      <c r="AR24" s="1" t="s">
        <v>293</v>
      </c>
      <c r="AS24" s="1">
        <v>0</v>
      </c>
      <c r="AU24" s="1">
        <v>100</v>
      </c>
      <c r="AX24" s="1">
        <v>0</v>
      </c>
      <c r="BB24" s="1" t="s">
        <v>266</v>
      </c>
      <c r="BC24" s="1" t="s">
        <v>420</v>
      </c>
      <c r="BD24" s="8" t="s">
        <v>421</v>
      </c>
      <c r="BE24" s="1">
        <v>4</v>
      </c>
      <c r="BF24" s="1">
        <v>0</v>
      </c>
      <c r="BG24" s="1">
        <v>1</v>
      </c>
      <c r="BH24" s="8"/>
      <c r="BI24" s="8"/>
      <c r="BJ24" s="1">
        <v>0</v>
      </c>
      <c r="BQ24" s="1">
        <v>1</v>
      </c>
      <c r="BR24" s="1" t="s">
        <v>323</v>
      </c>
    </row>
    <row r="25" spans="1:70" ht="323" x14ac:dyDescent="0.2">
      <c r="A25" s="1" t="s">
        <v>603</v>
      </c>
      <c r="B25" s="1" t="s">
        <v>101</v>
      </c>
      <c r="C25" s="1">
        <v>2010</v>
      </c>
      <c r="D25" s="1" t="s">
        <v>99</v>
      </c>
      <c r="E25" s="1" t="s">
        <v>100</v>
      </c>
      <c r="F25" s="1" t="s">
        <v>351</v>
      </c>
      <c r="G25" s="1">
        <v>7.1999999999999995E-2</v>
      </c>
      <c r="H25" s="1">
        <v>3.36843E-2</v>
      </c>
      <c r="I25" s="1" t="s">
        <v>315</v>
      </c>
      <c r="M25" s="1">
        <v>1</v>
      </c>
      <c r="N25" s="1">
        <v>0</v>
      </c>
      <c r="O25" s="1">
        <v>0</v>
      </c>
      <c r="P25" s="1" t="s">
        <v>353</v>
      </c>
      <c r="Q25" s="1">
        <v>0</v>
      </c>
      <c r="R25" s="1" t="s">
        <v>538</v>
      </c>
      <c r="S25" s="1">
        <v>4</v>
      </c>
      <c r="T25" s="1">
        <v>0</v>
      </c>
      <c r="U25" s="1">
        <v>0</v>
      </c>
      <c r="W25" s="1">
        <v>3.0770200000000001E-2</v>
      </c>
      <c r="X25" s="1">
        <v>3.6365599999999998E-2</v>
      </c>
      <c r="AA25" s="1">
        <v>1</v>
      </c>
      <c r="AB25" s="1">
        <f>AVERAGE(0.16,0.12)</f>
        <v>0.14000000000000001</v>
      </c>
      <c r="AC25" s="1">
        <f>0.25*(0.93^2+0.88^2+2*0.5*0.93*0.88)</f>
        <v>0.614425</v>
      </c>
      <c r="AD25" s="1" t="s">
        <v>103</v>
      </c>
      <c r="AE25" s="1">
        <v>7290</v>
      </c>
      <c r="AF25" s="1">
        <v>2000</v>
      </c>
      <c r="AG25" s="1" t="s">
        <v>103</v>
      </c>
      <c r="AH25" s="1">
        <v>0</v>
      </c>
      <c r="AI25" s="1">
        <v>2018</v>
      </c>
      <c r="AK25" s="1" t="s">
        <v>100</v>
      </c>
      <c r="AM25" s="1" t="s">
        <v>385</v>
      </c>
      <c r="AN25" s="1">
        <v>15</v>
      </c>
      <c r="AO25" s="1" t="s">
        <v>59</v>
      </c>
      <c r="AP25" s="1" t="s">
        <v>23</v>
      </c>
      <c r="AQ25" s="1">
        <f>(853/235)^2</f>
        <v>13.175355364418289</v>
      </c>
      <c r="AR25" s="1" t="s">
        <v>288</v>
      </c>
      <c r="AS25" s="1">
        <v>0</v>
      </c>
      <c r="AT25" s="1">
        <v>406.12430000000001</v>
      </c>
      <c r="AU25" s="1">
        <v>339.55144999999999</v>
      </c>
      <c r="AW25" s="1">
        <v>288.02080000000001</v>
      </c>
      <c r="AX25" s="1">
        <v>0</v>
      </c>
      <c r="BB25" s="1" t="s">
        <v>324</v>
      </c>
      <c r="BC25" s="1" t="s">
        <v>516</v>
      </c>
      <c r="BD25" s="1" t="s">
        <v>517</v>
      </c>
      <c r="BE25" s="1">
        <v>4</v>
      </c>
      <c r="BF25" s="1">
        <v>0</v>
      </c>
      <c r="BG25" s="1">
        <v>0</v>
      </c>
      <c r="BH25" s="1">
        <v>427.75869999999998</v>
      </c>
      <c r="BI25" s="1">
        <v>255.95840000000001</v>
      </c>
      <c r="BJ25" s="1">
        <v>0</v>
      </c>
      <c r="BQ25" s="1">
        <v>1</v>
      </c>
      <c r="BR25" s="1" t="s">
        <v>102</v>
      </c>
    </row>
    <row r="26" spans="1:70" ht="221" x14ac:dyDescent="0.2">
      <c r="A26" s="1" t="s">
        <v>603</v>
      </c>
      <c r="B26" s="1" t="s">
        <v>36</v>
      </c>
      <c r="C26" s="1">
        <v>2009</v>
      </c>
      <c r="D26" s="1" t="s">
        <v>556</v>
      </c>
      <c r="E26" s="1" t="s">
        <v>551</v>
      </c>
      <c r="F26" s="1" t="s">
        <v>351</v>
      </c>
      <c r="G26" s="1">
        <v>12.0009</v>
      </c>
      <c r="H26" s="1">
        <v>6.8071999999999999</v>
      </c>
      <c r="I26" s="1" t="s">
        <v>553</v>
      </c>
      <c r="J26" s="1">
        <v>-9.5860000000000003</v>
      </c>
      <c r="K26" s="1">
        <v>7.4082999999999997</v>
      </c>
      <c r="L26" s="1" t="s">
        <v>554</v>
      </c>
      <c r="M26" s="1">
        <v>1</v>
      </c>
      <c r="N26" s="1">
        <v>0</v>
      </c>
      <c r="O26" s="1">
        <v>0</v>
      </c>
      <c r="P26" s="1" t="s">
        <v>552</v>
      </c>
      <c r="Q26" s="1">
        <v>0</v>
      </c>
      <c r="R26" s="1" t="s">
        <v>535</v>
      </c>
      <c r="S26" s="1">
        <v>2</v>
      </c>
      <c r="T26" s="1">
        <v>0</v>
      </c>
      <c r="U26" s="1">
        <v>0</v>
      </c>
      <c r="V26" s="1" t="s">
        <v>486</v>
      </c>
      <c r="AA26" s="1">
        <v>0</v>
      </c>
      <c r="AC26" s="1">
        <v>12</v>
      </c>
      <c r="AD26" s="1" t="s">
        <v>560</v>
      </c>
      <c r="AE26" s="1">
        <v>5348</v>
      </c>
      <c r="AF26" s="1">
        <v>1991</v>
      </c>
      <c r="AG26" s="1" t="s">
        <v>555</v>
      </c>
      <c r="AH26" s="1">
        <v>0</v>
      </c>
      <c r="AI26" s="1">
        <v>1991</v>
      </c>
      <c r="AK26" s="1" t="s">
        <v>551</v>
      </c>
      <c r="AO26" s="1" t="s">
        <v>126</v>
      </c>
      <c r="AP26" s="1" t="s">
        <v>588</v>
      </c>
      <c r="AQ26" s="1">
        <v>20</v>
      </c>
      <c r="AR26" s="1" t="s">
        <v>557</v>
      </c>
      <c r="AS26" s="1">
        <v>1</v>
      </c>
      <c r="AU26" s="1">
        <f>1*AE26</f>
        <v>5348</v>
      </c>
      <c r="AX26" s="1">
        <v>0</v>
      </c>
      <c r="AY26" s="1">
        <f>0.058*AE26</f>
        <v>310.18400000000003</v>
      </c>
      <c r="BC26" s="1" t="s">
        <v>585</v>
      </c>
      <c r="BD26" s="1" t="s">
        <v>583</v>
      </c>
      <c r="BE26" s="1">
        <v>4</v>
      </c>
      <c r="BF26" s="1">
        <v>0</v>
      </c>
      <c r="BG26" s="1">
        <v>0</v>
      </c>
      <c r="BQ26" s="1">
        <v>0</v>
      </c>
    </row>
    <row r="27" spans="1:70" ht="289" x14ac:dyDescent="0.2">
      <c r="A27" s="1" t="s">
        <v>255</v>
      </c>
      <c r="B27" s="1" t="s">
        <v>598</v>
      </c>
      <c r="C27" s="1">
        <v>2003</v>
      </c>
      <c r="D27" s="2" t="s">
        <v>151</v>
      </c>
      <c r="E27" s="2" t="s">
        <v>152</v>
      </c>
      <c r="F27" s="2" t="s">
        <v>351</v>
      </c>
      <c r="G27" s="2">
        <v>2.3E-2</v>
      </c>
      <c r="H27" s="2">
        <v>1.7999999999999999E-2</v>
      </c>
      <c r="I27" s="2" t="s">
        <v>160</v>
      </c>
      <c r="J27" s="2"/>
      <c r="K27" s="2"/>
      <c r="L27" s="2"/>
      <c r="M27" s="2">
        <v>1</v>
      </c>
      <c r="N27" s="2">
        <v>0</v>
      </c>
      <c r="O27" s="2">
        <v>0</v>
      </c>
      <c r="P27" s="2" t="s">
        <v>354</v>
      </c>
      <c r="Q27" s="2">
        <v>0</v>
      </c>
      <c r="R27" s="2" t="s">
        <v>535</v>
      </c>
      <c r="S27" s="2">
        <v>1</v>
      </c>
      <c r="T27" s="2">
        <v>2</v>
      </c>
      <c r="U27" s="2">
        <v>0</v>
      </c>
      <c r="W27" s="2"/>
      <c r="X27" s="2"/>
      <c r="Y27" s="2"/>
      <c r="Z27" s="2"/>
      <c r="AA27" s="2">
        <v>1</v>
      </c>
      <c r="AB27" s="2">
        <v>20.14</v>
      </c>
      <c r="AC27" s="2">
        <v>4.51</v>
      </c>
      <c r="AD27" s="2" t="s">
        <v>106</v>
      </c>
      <c r="AE27" s="2">
        <f>AVERAGE(4872)</f>
        <v>4872</v>
      </c>
      <c r="AF27" s="2">
        <v>2001</v>
      </c>
      <c r="AG27" s="2" t="s">
        <v>453</v>
      </c>
      <c r="AH27" s="2">
        <v>0</v>
      </c>
      <c r="AI27" s="2">
        <v>2001</v>
      </c>
      <c r="AJ27" s="6"/>
      <c r="AK27" s="2" t="s">
        <v>152</v>
      </c>
      <c r="AL27" s="2"/>
      <c r="AM27" s="2"/>
      <c r="AN27" s="2"/>
      <c r="AO27" s="2" t="s">
        <v>126</v>
      </c>
      <c r="AP27" s="2" t="s">
        <v>587</v>
      </c>
      <c r="AQ27" s="2">
        <f>(1094.28/335.01)^2</f>
        <v>10.669434013144741</v>
      </c>
      <c r="AR27" s="2" t="s">
        <v>46</v>
      </c>
      <c r="AS27" s="2">
        <v>0</v>
      </c>
      <c r="AT27" s="2"/>
      <c r="AU27" s="2">
        <v>1094.28</v>
      </c>
      <c r="AV27" s="2">
        <v>335.01</v>
      </c>
      <c r="AW27" s="2"/>
      <c r="AX27" s="2">
        <v>0</v>
      </c>
      <c r="AY27" s="2"/>
      <c r="AZ27" s="2"/>
      <c r="BA27" s="2"/>
      <c r="BB27" s="2" t="s">
        <v>245</v>
      </c>
      <c r="BC27" s="1" t="s">
        <v>422</v>
      </c>
      <c r="BD27" s="1" t="s">
        <v>379</v>
      </c>
      <c r="BE27" s="2">
        <v>4</v>
      </c>
      <c r="BF27" s="2">
        <v>0</v>
      </c>
      <c r="BG27" s="2">
        <v>0</v>
      </c>
      <c r="BJ27" s="2">
        <v>0</v>
      </c>
      <c r="BK27" s="2"/>
      <c r="BL27" s="2"/>
      <c r="BM27" s="2"/>
      <c r="BN27" s="2"/>
      <c r="BO27" s="2"/>
      <c r="BP27" s="2"/>
      <c r="BQ27" s="2">
        <v>1</v>
      </c>
      <c r="BR27" s="2" t="s">
        <v>161</v>
      </c>
    </row>
    <row r="28" spans="1:70" ht="272" x14ac:dyDescent="0.2">
      <c r="A28" s="1" t="s">
        <v>603</v>
      </c>
      <c r="B28" s="1" t="s">
        <v>36</v>
      </c>
      <c r="C28" s="1">
        <v>2017</v>
      </c>
      <c r="D28" s="1" t="s">
        <v>35</v>
      </c>
      <c r="E28" s="1" t="s">
        <v>34</v>
      </c>
      <c r="F28" s="1" t="s">
        <v>363</v>
      </c>
      <c r="G28" s="1">
        <v>2.6976999999999999E-3</v>
      </c>
      <c r="H28" s="1">
        <v>2.0019E-3</v>
      </c>
      <c r="I28" s="1" t="s">
        <v>326</v>
      </c>
      <c r="M28" s="1">
        <v>1</v>
      </c>
      <c r="N28" s="1">
        <v>0</v>
      </c>
      <c r="O28" s="1">
        <v>0</v>
      </c>
      <c r="P28" s="1" t="s">
        <v>47</v>
      </c>
      <c r="Q28" s="1">
        <v>0</v>
      </c>
      <c r="R28" s="1" t="s">
        <v>541</v>
      </c>
      <c r="S28" s="1">
        <v>2</v>
      </c>
      <c r="T28" s="1">
        <v>0</v>
      </c>
      <c r="U28" s="1">
        <v>0</v>
      </c>
      <c r="V28" s="1" t="s">
        <v>483</v>
      </c>
      <c r="W28" s="1">
        <v>1.8439400000000001E-3</v>
      </c>
      <c r="X28" s="1">
        <v>2.14832E-3</v>
      </c>
      <c r="AA28" s="1">
        <v>1</v>
      </c>
      <c r="AE28" s="1">
        <f>SUM(1305,8725)</f>
        <v>10030</v>
      </c>
      <c r="AF28" s="1">
        <v>2013</v>
      </c>
      <c r="AG28" s="1" t="s">
        <v>454</v>
      </c>
      <c r="AH28" s="1">
        <v>0</v>
      </c>
      <c r="AI28" s="1">
        <v>2018</v>
      </c>
      <c r="AJ28" s="5" t="s">
        <v>45</v>
      </c>
      <c r="AK28" s="1" t="s">
        <v>34</v>
      </c>
      <c r="AL28" s="1" t="s">
        <v>173</v>
      </c>
      <c r="AM28" s="1" t="s">
        <v>381</v>
      </c>
      <c r="AN28" s="1">
        <v>15</v>
      </c>
      <c r="AO28" s="1" t="s">
        <v>59</v>
      </c>
      <c r="AP28" s="1" t="s">
        <v>586</v>
      </c>
      <c r="AQ28" s="1">
        <f>(3.006/0.652)^2</f>
        <v>21.256059693627908</v>
      </c>
      <c r="AR28" s="1" t="s">
        <v>64</v>
      </c>
      <c r="AS28" s="1">
        <v>0</v>
      </c>
      <c r="AT28" s="1">
        <v>427.37860000000001</v>
      </c>
      <c r="AU28" s="1">
        <v>321.15210000000002</v>
      </c>
      <c r="AW28" s="1">
        <v>247.39230000000001</v>
      </c>
      <c r="AX28" s="1">
        <v>0</v>
      </c>
      <c r="BB28" s="1" t="s">
        <v>325</v>
      </c>
      <c r="BC28" s="1" t="s">
        <v>446</v>
      </c>
      <c r="BD28" s="1" t="s">
        <v>518</v>
      </c>
      <c r="BE28" s="1">
        <v>4</v>
      </c>
      <c r="BF28" s="1">
        <v>0</v>
      </c>
      <c r="BG28" s="1">
        <v>0</v>
      </c>
      <c r="BH28" s="1">
        <v>404.57960000000003</v>
      </c>
      <c r="BI28" s="1">
        <v>242.08869999999999</v>
      </c>
      <c r="BJ28" s="1">
        <v>0</v>
      </c>
      <c r="BQ28" s="1">
        <v>1</v>
      </c>
    </row>
    <row r="29" spans="1:70" ht="68" x14ac:dyDescent="0.2">
      <c r="D29" s="11" t="s">
        <v>319</v>
      </c>
      <c r="E29" s="1" t="s">
        <v>316</v>
      </c>
      <c r="F29" s="1" t="s">
        <v>351</v>
      </c>
      <c r="O29" s="1">
        <v>0</v>
      </c>
      <c r="U29" s="1">
        <v>0</v>
      </c>
      <c r="AK29" s="1" t="s">
        <v>316</v>
      </c>
      <c r="AM29" s="11"/>
      <c r="AN29" s="11"/>
      <c r="AQ29" s="1">
        <v>-1</v>
      </c>
      <c r="AX29" s="1">
        <v>0</v>
      </c>
      <c r="BE29" s="1">
        <v>4</v>
      </c>
      <c r="BF29" s="1">
        <v>0</v>
      </c>
      <c r="BJ29" s="1">
        <v>0</v>
      </c>
      <c r="BQ29" s="1">
        <v>1</v>
      </c>
    </row>
    <row r="30" spans="1:70" ht="34" x14ac:dyDescent="0.2">
      <c r="D30" s="11" t="s">
        <v>320</v>
      </c>
      <c r="E30" s="1" t="s">
        <v>268</v>
      </c>
      <c r="F30" s="1" t="s">
        <v>351</v>
      </c>
      <c r="O30" s="1">
        <v>0</v>
      </c>
      <c r="U30" s="1">
        <v>0</v>
      </c>
      <c r="AM30" s="11"/>
      <c r="AN30" s="11"/>
      <c r="AQ30" s="1">
        <v>-1</v>
      </c>
      <c r="AX30" s="1">
        <v>0</v>
      </c>
      <c r="BE30" s="1">
        <v>4</v>
      </c>
      <c r="BF30" s="1">
        <v>0</v>
      </c>
      <c r="BJ30" s="1">
        <v>0</v>
      </c>
      <c r="BQ30" s="1">
        <v>1</v>
      </c>
    </row>
    <row r="31" spans="1:70" ht="272" x14ac:dyDescent="0.2">
      <c r="A31" s="1" t="s">
        <v>603</v>
      </c>
      <c r="B31" s="1" t="s">
        <v>36</v>
      </c>
      <c r="C31" s="1">
        <v>2018</v>
      </c>
      <c r="D31" s="1" t="s">
        <v>132</v>
      </c>
      <c r="E31" s="1" t="s">
        <v>133</v>
      </c>
      <c r="F31" s="1" t="s">
        <v>351</v>
      </c>
      <c r="G31" s="1">
        <v>4.6800000000000001E-2</v>
      </c>
      <c r="H31" s="1">
        <v>1.3100000000000001E-2</v>
      </c>
      <c r="I31" s="1" t="s">
        <v>327</v>
      </c>
      <c r="J31" s="1">
        <v>4.2000000000000003E-2</v>
      </c>
      <c r="K31" s="1">
        <v>1.06E-2</v>
      </c>
      <c r="L31" s="1" t="s">
        <v>328</v>
      </c>
      <c r="M31" s="1">
        <v>1</v>
      </c>
      <c r="N31" s="1">
        <v>0</v>
      </c>
      <c r="O31" s="1">
        <v>0</v>
      </c>
      <c r="P31" s="1" t="s">
        <v>134</v>
      </c>
      <c r="Q31" s="1">
        <v>0</v>
      </c>
      <c r="R31" s="1" t="s">
        <v>536</v>
      </c>
      <c r="S31" s="1">
        <v>3</v>
      </c>
      <c r="T31" s="1">
        <v>0</v>
      </c>
      <c r="U31" s="1">
        <v>0</v>
      </c>
      <c r="V31" s="1" t="s">
        <v>484</v>
      </c>
      <c r="AA31" s="1">
        <v>1</v>
      </c>
      <c r="AB31" s="1">
        <v>0</v>
      </c>
      <c r="AC31" s="1">
        <v>1</v>
      </c>
      <c r="AD31" s="1" t="s">
        <v>136</v>
      </c>
      <c r="AE31" s="1">
        <v>21820</v>
      </c>
      <c r="AF31" s="1">
        <v>2016</v>
      </c>
      <c r="AG31" s="1" t="s">
        <v>137</v>
      </c>
      <c r="AH31" s="1">
        <v>0</v>
      </c>
      <c r="AI31" s="1">
        <v>2016</v>
      </c>
      <c r="AK31" s="1" t="s">
        <v>133</v>
      </c>
      <c r="AO31" s="1" t="s">
        <v>126</v>
      </c>
      <c r="AP31" s="1" t="s">
        <v>588</v>
      </c>
      <c r="AQ31" s="1">
        <v>425.69</v>
      </c>
      <c r="AR31" s="1" t="s">
        <v>64</v>
      </c>
      <c r="AS31" s="1">
        <v>0</v>
      </c>
      <c r="AU31" s="1">
        <v>1000</v>
      </c>
      <c r="AX31" s="1">
        <v>1</v>
      </c>
      <c r="AY31" s="1">
        <f>200*8.1</f>
        <v>1620</v>
      </c>
      <c r="AZ31" s="1" t="s">
        <v>498</v>
      </c>
      <c r="BB31" s="1" t="s">
        <v>138</v>
      </c>
      <c r="BC31" s="1" t="s">
        <v>519</v>
      </c>
      <c r="BD31" s="1" t="s">
        <v>423</v>
      </c>
      <c r="BE31" s="1">
        <v>4</v>
      </c>
      <c r="BF31" s="1">
        <v>1</v>
      </c>
      <c r="BG31" s="1">
        <v>0</v>
      </c>
      <c r="BJ31" s="1">
        <v>0</v>
      </c>
      <c r="BQ31" s="1">
        <v>0</v>
      </c>
      <c r="BR31" s="1" t="s">
        <v>135</v>
      </c>
    </row>
    <row r="32" spans="1:70" ht="170" x14ac:dyDescent="0.2">
      <c r="A32" s="1" t="s">
        <v>603</v>
      </c>
      <c r="B32" s="1" t="s">
        <v>48</v>
      </c>
      <c r="C32" s="1">
        <v>2015</v>
      </c>
      <c r="D32" s="1" t="s">
        <v>38</v>
      </c>
      <c r="E32" s="1" t="s">
        <v>37</v>
      </c>
      <c r="F32" s="1" t="s">
        <v>363</v>
      </c>
      <c r="G32" s="1">
        <v>3.5628999999999999E-3</v>
      </c>
      <c r="H32" s="1">
        <v>3.9821000000000002E-2</v>
      </c>
      <c r="I32" s="1" t="s">
        <v>331</v>
      </c>
      <c r="M32" s="1">
        <v>0</v>
      </c>
      <c r="N32" s="1">
        <v>1</v>
      </c>
      <c r="O32" s="1">
        <v>0</v>
      </c>
      <c r="P32" s="1" t="s">
        <v>82</v>
      </c>
      <c r="Q32" s="1">
        <v>0</v>
      </c>
      <c r="R32" s="1" t="s">
        <v>541</v>
      </c>
      <c r="S32" s="1">
        <v>2</v>
      </c>
      <c r="T32" s="1">
        <v>0</v>
      </c>
      <c r="U32" s="1">
        <v>0</v>
      </c>
      <c r="V32" s="1" t="s">
        <v>483</v>
      </c>
      <c r="W32" s="1">
        <v>3.639158E-2</v>
      </c>
      <c r="X32" s="1">
        <v>4.2977559999999998E-2</v>
      </c>
      <c r="AA32" s="1">
        <v>1</v>
      </c>
      <c r="AB32" s="1">
        <v>0.80005999999999999</v>
      </c>
      <c r="AC32" s="1">
        <f>(AB32)*(1-(AB32))</f>
        <v>0.1599639964</v>
      </c>
      <c r="AD32" s="1" t="s">
        <v>83</v>
      </c>
      <c r="AE32" s="1">
        <f>SUM(1305,8725)</f>
        <v>10030</v>
      </c>
      <c r="AF32" s="1">
        <v>2013</v>
      </c>
      <c r="AG32" s="1" t="s">
        <v>455</v>
      </c>
      <c r="AH32" s="1">
        <v>1</v>
      </c>
      <c r="AI32" s="1">
        <v>2018</v>
      </c>
      <c r="AJ32" s="5" t="s">
        <v>390</v>
      </c>
      <c r="AK32" s="1" t="s">
        <v>37</v>
      </c>
      <c r="AO32" s="1" t="s">
        <v>59</v>
      </c>
      <c r="AP32" s="1" t="s">
        <v>586</v>
      </c>
      <c r="AQ32" s="1">
        <f>(23765.7/7249.8)^2</f>
        <v>10.746057733699603</v>
      </c>
      <c r="AR32" s="1" t="s">
        <v>289</v>
      </c>
      <c r="AS32" s="1">
        <v>0</v>
      </c>
      <c r="AT32" s="1">
        <v>1332.845</v>
      </c>
      <c r="AU32" s="1">
        <v>1160.924</v>
      </c>
      <c r="AW32" s="1">
        <v>559.05840000000001</v>
      </c>
      <c r="AX32" s="1">
        <v>0</v>
      </c>
      <c r="BB32" s="1" t="s">
        <v>329</v>
      </c>
      <c r="BE32" s="1">
        <v>4</v>
      </c>
      <c r="BF32" s="1">
        <v>0</v>
      </c>
      <c r="BG32" s="1">
        <v>0</v>
      </c>
      <c r="BH32" s="1">
        <v>1345.873</v>
      </c>
      <c r="BI32" s="1">
        <v>1131.0129999999999</v>
      </c>
      <c r="BJ32" s="1">
        <v>0</v>
      </c>
      <c r="BQ32" s="1">
        <v>1</v>
      </c>
      <c r="BR32" s="1" t="s">
        <v>81</v>
      </c>
    </row>
    <row r="33" spans="1:70" s="4" customFormat="1" ht="170" x14ac:dyDescent="0.2">
      <c r="A33" s="1" t="s">
        <v>603</v>
      </c>
      <c r="B33" s="1" t="s">
        <v>48</v>
      </c>
      <c r="C33" s="1">
        <v>2015</v>
      </c>
      <c r="D33" s="1" t="s">
        <v>38</v>
      </c>
      <c r="E33" s="1" t="s">
        <v>37</v>
      </c>
      <c r="F33" s="1" t="s">
        <v>363</v>
      </c>
      <c r="G33" s="1">
        <v>-2.2051000000000002E-3</v>
      </c>
      <c r="H33" s="1">
        <v>2.6303099999999999E-2</v>
      </c>
      <c r="I33" s="1" t="s">
        <v>330</v>
      </c>
      <c r="J33" s="1"/>
      <c r="K33" s="1"/>
      <c r="L33" s="1"/>
      <c r="M33" s="1">
        <v>1</v>
      </c>
      <c r="N33" s="1">
        <v>0</v>
      </c>
      <c r="O33" s="1">
        <v>0</v>
      </c>
      <c r="P33" s="1" t="s">
        <v>82</v>
      </c>
      <c r="Q33" s="1">
        <v>0</v>
      </c>
      <c r="R33" s="1" t="s">
        <v>541</v>
      </c>
      <c r="S33" s="1">
        <v>2</v>
      </c>
      <c r="T33" s="1">
        <v>0</v>
      </c>
      <c r="U33" s="1">
        <v>0</v>
      </c>
      <c r="V33" s="1" t="s">
        <v>483</v>
      </c>
      <c r="W33" s="1">
        <v>2.4052540000000001E-2</v>
      </c>
      <c r="X33" s="1">
        <v>2.8375810000000001E-2</v>
      </c>
      <c r="Y33" s="1"/>
      <c r="Z33" s="1"/>
      <c r="AA33" s="1">
        <v>1</v>
      </c>
      <c r="AB33" s="1">
        <v>0.80122000000000004</v>
      </c>
      <c r="AC33" s="1">
        <f>(AB33)*(1-(AB33))</f>
        <v>0.15926651159999997</v>
      </c>
      <c r="AD33" s="1" t="s">
        <v>83</v>
      </c>
      <c r="AE33" s="1">
        <f>SUM(1305,8725)</f>
        <v>10030</v>
      </c>
      <c r="AF33" s="1">
        <v>2013</v>
      </c>
      <c r="AG33" s="1" t="s">
        <v>455</v>
      </c>
      <c r="AH33" s="1">
        <v>1</v>
      </c>
      <c r="AI33" s="1">
        <v>2018</v>
      </c>
      <c r="AJ33" s="5" t="s">
        <v>390</v>
      </c>
      <c r="AK33" s="1" t="s">
        <v>37</v>
      </c>
      <c r="AL33" s="1"/>
      <c r="AM33" s="1" t="s">
        <v>386</v>
      </c>
      <c r="AN33" s="1">
        <v>36.875</v>
      </c>
      <c r="AO33" s="1" t="s">
        <v>59</v>
      </c>
      <c r="AP33" s="1" t="s">
        <v>586</v>
      </c>
      <c r="AQ33" s="1">
        <f>(23765.7/7249.8)^2</f>
        <v>10.746057733699603</v>
      </c>
      <c r="AR33" s="1" t="s">
        <v>289</v>
      </c>
      <c r="AS33" s="1">
        <v>0</v>
      </c>
      <c r="AT33" s="1">
        <v>1332.845</v>
      </c>
      <c r="AU33" s="1">
        <v>1160.924</v>
      </c>
      <c r="AV33" s="1"/>
      <c r="AW33" s="1">
        <v>559.05840000000001</v>
      </c>
      <c r="AX33" s="1">
        <v>0</v>
      </c>
      <c r="AY33" s="1"/>
      <c r="AZ33" s="1"/>
      <c r="BA33" s="1"/>
      <c r="BB33" s="1" t="s">
        <v>329</v>
      </c>
      <c r="BC33" s="1" t="s">
        <v>424</v>
      </c>
      <c r="BD33" s="8" t="s">
        <v>425</v>
      </c>
      <c r="BE33" s="1">
        <v>4</v>
      </c>
      <c r="BF33" s="1">
        <v>0</v>
      </c>
      <c r="BG33" s="1">
        <v>0</v>
      </c>
      <c r="BH33" s="8">
        <v>1345.873</v>
      </c>
      <c r="BI33" s="8">
        <v>1131.0129999999999</v>
      </c>
      <c r="BJ33" s="1">
        <v>0</v>
      </c>
      <c r="BK33" s="1"/>
      <c r="BL33" s="1"/>
      <c r="BM33" s="1"/>
      <c r="BN33" s="1"/>
      <c r="BO33" s="1"/>
      <c r="BP33" s="1"/>
      <c r="BQ33" s="1">
        <v>1</v>
      </c>
      <c r="BR33" s="1" t="s">
        <v>81</v>
      </c>
    </row>
    <row r="34" spans="1:70" s="4" customFormat="1" ht="119" x14ac:dyDescent="0.2">
      <c r="A34" s="1" t="s">
        <v>603</v>
      </c>
      <c r="B34" s="1" t="s">
        <v>345</v>
      </c>
      <c r="C34" s="1">
        <v>2001</v>
      </c>
      <c r="D34" s="1" t="s">
        <v>154</v>
      </c>
      <c r="E34" s="1" t="s">
        <v>153</v>
      </c>
      <c r="F34" s="1" t="s">
        <v>351</v>
      </c>
      <c r="G34" s="1">
        <v>0.35499999999999998</v>
      </c>
      <c r="H34" s="1">
        <v>0.17327723451163454</v>
      </c>
      <c r="I34" s="1" t="s">
        <v>155</v>
      </c>
      <c r="J34" s="1">
        <v>-0.30000000000000004</v>
      </c>
      <c r="K34" s="1">
        <v>0.18661457606521523</v>
      </c>
      <c r="L34" s="1" t="s">
        <v>156</v>
      </c>
      <c r="M34" s="1">
        <v>1</v>
      </c>
      <c r="N34" s="1">
        <v>0</v>
      </c>
      <c r="O34" s="1">
        <v>0</v>
      </c>
      <c r="P34" s="1"/>
      <c r="Q34" s="1">
        <v>0</v>
      </c>
      <c r="R34" s="1" t="s">
        <v>535</v>
      </c>
      <c r="S34" s="1">
        <v>3</v>
      </c>
      <c r="T34" s="1">
        <v>0</v>
      </c>
      <c r="U34" s="1">
        <v>0</v>
      </c>
      <c r="V34" s="1"/>
      <c r="W34" s="1">
        <v>0.15823242398446657</v>
      </c>
      <c r="X34" s="1">
        <v>0.1871162740116423</v>
      </c>
      <c r="Y34" s="1"/>
      <c r="Z34" s="1"/>
      <c r="AA34" s="1">
        <v>1</v>
      </c>
      <c r="AB34" s="1">
        <f>AVERAGE(1361,1359,1366,1364)</f>
        <v>1362.5</v>
      </c>
      <c r="AC34" s="1"/>
      <c r="AD34" s="1" t="s">
        <v>157</v>
      </c>
      <c r="AE34" s="1">
        <f>AVERAGE(4164,4124)</f>
        <v>4144</v>
      </c>
      <c r="AF34" s="1">
        <v>1992</v>
      </c>
      <c r="AG34" s="1" t="s">
        <v>456</v>
      </c>
      <c r="AH34" s="1">
        <v>0</v>
      </c>
      <c r="AI34" s="1">
        <v>1991</v>
      </c>
      <c r="AJ34" s="5"/>
      <c r="AK34" s="1" t="s">
        <v>153</v>
      </c>
      <c r="AL34" s="1"/>
      <c r="AM34" s="1"/>
      <c r="AN34" s="1"/>
      <c r="AO34" s="1" t="s">
        <v>126</v>
      </c>
      <c r="AP34" s="1" t="s">
        <v>588</v>
      </c>
      <c r="AQ34" s="1">
        <f>(0.368/0.019)^2</f>
        <v>375.13573407202216</v>
      </c>
      <c r="AR34" s="1" t="s">
        <v>294</v>
      </c>
      <c r="AS34" s="1">
        <v>0</v>
      </c>
      <c r="AT34" s="1"/>
      <c r="AU34" s="1">
        <v>1000</v>
      </c>
      <c r="AV34" s="1"/>
      <c r="AW34" s="1"/>
      <c r="AX34" s="1">
        <v>1</v>
      </c>
      <c r="AY34" s="1">
        <v>179</v>
      </c>
      <c r="AZ34" s="1" t="s">
        <v>499</v>
      </c>
      <c r="BA34" s="1"/>
      <c r="BB34" s="1" t="s">
        <v>158</v>
      </c>
      <c r="BC34" s="1" t="s">
        <v>520</v>
      </c>
      <c r="BD34" s="1" t="s">
        <v>491</v>
      </c>
      <c r="BE34" s="1">
        <v>4</v>
      </c>
      <c r="BF34" s="1">
        <v>0</v>
      </c>
      <c r="BG34" s="1">
        <v>0</v>
      </c>
      <c r="BH34" s="1"/>
      <c r="BI34" s="1"/>
      <c r="BJ34" s="1">
        <v>0</v>
      </c>
      <c r="BK34" s="1"/>
      <c r="BL34" s="1">
        <v>0.17066048165876013</v>
      </c>
      <c r="BM34" s="7">
        <v>0.20130822139197396</v>
      </c>
      <c r="BN34" s="1"/>
      <c r="BO34" s="1"/>
      <c r="BP34" s="1"/>
      <c r="BQ34" s="1">
        <v>0</v>
      </c>
      <c r="BR34" s="1" t="s">
        <v>159</v>
      </c>
    </row>
    <row r="35" spans="1:70" ht="170" x14ac:dyDescent="0.2">
      <c r="B35" s="11" t="s">
        <v>189</v>
      </c>
      <c r="C35" s="1">
        <v>2016</v>
      </c>
      <c r="D35" s="1" t="s">
        <v>187</v>
      </c>
      <c r="E35" s="1" t="s">
        <v>188</v>
      </c>
      <c r="F35" s="1" t="s">
        <v>351</v>
      </c>
      <c r="G35" s="1">
        <v>3.9355108877721943E-2</v>
      </c>
      <c r="H35" s="1">
        <v>3.8849162999999999E-2</v>
      </c>
      <c r="I35" s="1" t="s">
        <v>267</v>
      </c>
      <c r="M35" s="1">
        <v>1</v>
      </c>
      <c r="N35" s="1">
        <v>0</v>
      </c>
      <c r="O35" s="1">
        <v>0</v>
      </c>
      <c r="P35" s="1" t="s">
        <v>191</v>
      </c>
      <c r="Q35" s="1">
        <v>0</v>
      </c>
      <c r="U35" s="1">
        <v>0</v>
      </c>
      <c r="Z35" s="1">
        <v>9.2725826742647788E-2</v>
      </c>
      <c r="AA35" s="1">
        <v>1</v>
      </c>
      <c r="AI35" s="1">
        <v>2003</v>
      </c>
      <c r="AK35" s="1" t="s">
        <v>188</v>
      </c>
      <c r="AO35" s="1" t="s">
        <v>201</v>
      </c>
      <c r="AP35" s="1" t="s">
        <v>23</v>
      </c>
      <c r="AQ35" s="1">
        <v>0</v>
      </c>
      <c r="AR35" s="1" t="s">
        <v>290</v>
      </c>
      <c r="AS35" s="1">
        <v>1</v>
      </c>
      <c r="AU35" s="1">
        <v>96.9</v>
      </c>
      <c r="AX35" s="1">
        <v>0</v>
      </c>
      <c r="BC35" s="1" t="s">
        <v>403</v>
      </c>
      <c r="BD35" s="1" t="s">
        <v>404</v>
      </c>
      <c r="BE35" s="1">
        <v>4</v>
      </c>
      <c r="BF35" s="1">
        <v>0</v>
      </c>
      <c r="BG35" s="1">
        <v>0</v>
      </c>
      <c r="BJ35" s="1">
        <v>0</v>
      </c>
      <c r="BQ35" s="1">
        <v>1</v>
      </c>
      <c r="BR35" s="1" t="s">
        <v>190</v>
      </c>
    </row>
    <row r="36" spans="1:70" ht="170" x14ac:dyDescent="0.2">
      <c r="A36" s="1" t="s">
        <v>603</v>
      </c>
      <c r="B36" s="1" t="s">
        <v>36</v>
      </c>
      <c r="C36" s="1">
        <v>2016</v>
      </c>
      <c r="D36" s="1" t="s">
        <v>104</v>
      </c>
      <c r="E36" s="1" t="s">
        <v>105</v>
      </c>
      <c r="F36" s="1" t="s">
        <v>363</v>
      </c>
      <c r="G36" s="1">
        <v>3.9547600000000002E-2</v>
      </c>
      <c r="H36" s="1">
        <v>2.22369E-2</v>
      </c>
      <c r="I36" s="1" t="s">
        <v>106</v>
      </c>
      <c r="M36" s="1">
        <v>1</v>
      </c>
      <c r="N36" s="1">
        <v>0</v>
      </c>
      <c r="O36" s="1">
        <v>0</v>
      </c>
      <c r="P36" s="1" t="s">
        <v>108</v>
      </c>
      <c r="Q36" s="1">
        <v>0</v>
      </c>
      <c r="R36" s="1" t="s">
        <v>541</v>
      </c>
      <c r="S36" s="1">
        <v>2</v>
      </c>
      <c r="T36" s="1">
        <v>0</v>
      </c>
      <c r="U36" s="1">
        <v>0</v>
      </c>
      <c r="V36" s="1" t="s">
        <v>485</v>
      </c>
      <c r="Z36" s="1">
        <v>2.7212650000000001E-2</v>
      </c>
      <c r="AA36" s="1">
        <v>1</v>
      </c>
      <c r="AB36" s="1">
        <f>AVERAGE(0.5805,0.5875)</f>
        <v>0.58400000000000007</v>
      </c>
      <c r="AC36" s="1">
        <f>1/(SQRT(1/0.174^2)+SQRT(1/0.1742^2))</f>
        <v>8.7049971280873065E-2</v>
      </c>
      <c r="AD36" s="1" t="s">
        <v>109</v>
      </c>
      <c r="AE36" s="1">
        <v>8103</v>
      </c>
      <c r="AF36" s="1">
        <v>2000</v>
      </c>
      <c r="AG36" s="1" t="s">
        <v>111</v>
      </c>
      <c r="AH36" s="1">
        <v>0</v>
      </c>
      <c r="AI36" s="1">
        <v>2018</v>
      </c>
      <c r="AK36" s="1" t="s">
        <v>105</v>
      </c>
      <c r="AL36" s="1" t="s">
        <v>177</v>
      </c>
      <c r="AM36" s="1" t="s">
        <v>382</v>
      </c>
      <c r="AN36" s="1">
        <v>26.9</v>
      </c>
      <c r="AO36" s="1" t="s">
        <v>59</v>
      </c>
      <c r="AP36" s="1" t="s">
        <v>23</v>
      </c>
      <c r="AQ36" s="1">
        <f>(3150/((3150-2600)/1.96))^2</f>
        <v>126.0108297520661</v>
      </c>
      <c r="AR36" s="1" t="s">
        <v>290</v>
      </c>
      <c r="AS36" s="1">
        <v>0</v>
      </c>
      <c r="AT36" s="1">
        <v>434.25290000000001</v>
      </c>
      <c r="AU36" s="1">
        <v>341.16629999999998</v>
      </c>
      <c r="AW36" s="1">
        <v>207.08029999999999</v>
      </c>
      <c r="AX36" s="1">
        <v>0</v>
      </c>
      <c r="BB36" s="1" t="s">
        <v>110</v>
      </c>
      <c r="BC36" s="1" t="s">
        <v>447</v>
      </c>
      <c r="BD36" s="1" t="s">
        <v>426</v>
      </c>
      <c r="BE36" s="1">
        <v>4</v>
      </c>
      <c r="BF36" s="1">
        <v>0</v>
      </c>
      <c r="BG36" s="1">
        <v>0</v>
      </c>
      <c r="BH36" s="1">
        <v>413.51749999999998</v>
      </c>
      <c r="BI36" s="1">
        <v>313.82690000000002</v>
      </c>
      <c r="BJ36" s="1">
        <v>0</v>
      </c>
      <c r="BQ36" s="1">
        <v>1</v>
      </c>
      <c r="BR36" s="1" t="s">
        <v>107</v>
      </c>
    </row>
    <row r="37" spans="1:70" ht="51" x14ac:dyDescent="0.2">
      <c r="D37" s="11" t="s">
        <v>317</v>
      </c>
      <c r="E37" s="1" t="s">
        <v>195</v>
      </c>
      <c r="F37" s="1" t="s">
        <v>365</v>
      </c>
      <c r="M37" s="1">
        <v>1</v>
      </c>
      <c r="O37" s="1">
        <v>0</v>
      </c>
      <c r="U37" s="1">
        <v>0</v>
      </c>
      <c r="AM37" s="11"/>
      <c r="AN37" s="11"/>
      <c r="AQ37" s="1">
        <f>(0.537/0.264)^2</f>
        <v>4.1375258264462813</v>
      </c>
      <c r="AX37" s="1">
        <v>0</v>
      </c>
      <c r="BE37" s="1">
        <v>4</v>
      </c>
      <c r="BF37" s="1">
        <v>0</v>
      </c>
      <c r="BJ37" s="1">
        <v>0</v>
      </c>
      <c r="BQ37" s="1">
        <v>1</v>
      </c>
    </row>
    <row r="38" spans="1:70" ht="187" x14ac:dyDescent="0.2">
      <c r="B38" s="1" t="s">
        <v>272</v>
      </c>
      <c r="C38" s="1">
        <v>2017</v>
      </c>
      <c r="D38" s="1" t="s">
        <v>216</v>
      </c>
      <c r="E38" s="1" t="s">
        <v>197</v>
      </c>
      <c r="F38" s="1" t="s">
        <v>371</v>
      </c>
      <c r="G38" s="1">
        <v>0.03</v>
      </c>
      <c r="H38" s="1">
        <v>1.4E-2</v>
      </c>
      <c r="I38" s="1" t="s">
        <v>333</v>
      </c>
      <c r="M38" s="1">
        <v>1</v>
      </c>
      <c r="N38" s="1">
        <v>0</v>
      </c>
      <c r="O38" s="1">
        <v>0</v>
      </c>
      <c r="P38" s="1" t="s">
        <v>217</v>
      </c>
      <c r="Q38" s="1">
        <v>0</v>
      </c>
      <c r="R38" s="1" t="s">
        <v>535</v>
      </c>
      <c r="S38" s="1">
        <v>2</v>
      </c>
      <c r="T38" s="1">
        <v>0</v>
      </c>
      <c r="U38" s="1">
        <v>0</v>
      </c>
      <c r="V38" s="1" t="s">
        <v>486</v>
      </c>
      <c r="AA38" s="1">
        <v>0</v>
      </c>
      <c r="AB38" s="1">
        <v>0.44800000000000001</v>
      </c>
      <c r="AC38" s="1">
        <f>SQRT(AB38*(1-AB38))</f>
        <v>0.49728864857344174</v>
      </c>
      <c r="AD38" s="1" t="s">
        <v>218</v>
      </c>
      <c r="AE38" s="1">
        <v>9797</v>
      </c>
      <c r="AF38" s="1">
        <v>2012</v>
      </c>
      <c r="AG38" s="1" t="s">
        <v>219</v>
      </c>
      <c r="AH38" s="1">
        <v>0</v>
      </c>
      <c r="AI38" s="1">
        <v>2012</v>
      </c>
      <c r="AJ38" s="5" t="s">
        <v>494</v>
      </c>
      <c r="AK38" s="1" t="s">
        <v>197</v>
      </c>
      <c r="AO38" s="1" t="s">
        <v>126</v>
      </c>
      <c r="AP38" s="1" t="s">
        <v>588</v>
      </c>
      <c r="AQ38" s="1">
        <f>(0.66/0.063)^2</f>
        <v>109.75056689342404</v>
      </c>
      <c r="AR38" s="1" t="s">
        <v>332</v>
      </c>
      <c r="AS38" s="1">
        <v>0</v>
      </c>
      <c r="AU38" s="1">
        <v>1000</v>
      </c>
      <c r="AX38" s="1">
        <v>1</v>
      </c>
      <c r="AY38" s="1">
        <v>1000</v>
      </c>
      <c r="BA38" s="1">
        <v>1</v>
      </c>
      <c r="BB38" s="1" t="s">
        <v>220</v>
      </c>
      <c r="BC38" s="1" t="s">
        <v>521</v>
      </c>
      <c r="BD38" s="1" t="s">
        <v>427</v>
      </c>
      <c r="BE38" s="1">
        <v>4</v>
      </c>
      <c r="BF38" s="1">
        <v>0</v>
      </c>
      <c r="BG38" s="1">
        <v>0</v>
      </c>
      <c r="BJ38" s="1">
        <v>0</v>
      </c>
      <c r="BQ38" s="1">
        <v>1</v>
      </c>
    </row>
    <row r="39" spans="1:70" ht="187" x14ac:dyDescent="0.2">
      <c r="B39" s="1" t="s">
        <v>272</v>
      </c>
      <c r="C39" s="1">
        <v>2017</v>
      </c>
      <c r="D39" s="1" t="s">
        <v>216</v>
      </c>
      <c r="E39" s="1" t="s">
        <v>197</v>
      </c>
      <c r="F39" s="1" t="s">
        <v>371</v>
      </c>
      <c r="G39" s="1">
        <v>3.0000000000000001E-3</v>
      </c>
      <c r="H39" s="1">
        <v>1.9E-2</v>
      </c>
      <c r="I39" s="1" t="s">
        <v>493</v>
      </c>
      <c r="M39" s="1">
        <v>0</v>
      </c>
      <c r="N39" s="1">
        <v>1</v>
      </c>
      <c r="O39" s="1">
        <v>0</v>
      </c>
      <c r="P39" s="1" t="s">
        <v>217</v>
      </c>
      <c r="Q39" s="1">
        <v>0</v>
      </c>
      <c r="R39" s="1" t="s">
        <v>535</v>
      </c>
      <c r="S39" s="1">
        <v>2</v>
      </c>
      <c r="T39" s="1">
        <v>0</v>
      </c>
      <c r="U39" s="1">
        <v>0</v>
      </c>
      <c r="V39" s="1" t="s">
        <v>486</v>
      </c>
      <c r="AA39" s="1">
        <v>0</v>
      </c>
      <c r="AB39" s="1">
        <v>0.44800000000000001</v>
      </c>
      <c r="AC39" s="1">
        <f>SQRT(AB39*(1-AB39))</f>
        <v>0.49728864857344174</v>
      </c>
      <c r="AD39" s="1" t="s">
        <v>218</v>
      </c>
      <c r="AE39" s="1">
        <v>9797</v>
      </c>
      <c r="AF39" s="1">
        <v>2012</v>
      </c>
      <c r="AG39" s="1" t="s">
        <v>219</v>
      </c>
      <c r="AH39" s="1">
        <v>0</v>
      </c>
      <c r="AI39" s="1">
        <v>2012</v>
      </c>
      <c r="AJ39" s="5" t="s">
        <v>494</v>
      </c>
      <c r="AK39" s="1" t="s">
        <v>197</v>
      </c>
      <c r="AO39" s="1" t="s">
        <v>126</v>
      </c>
      <c r="AP39" s="1" t="s">
        <v>588</v>
      </c>
      <c r="AQ39" s="1">
        <f>(0.66/0.063)^2</f>
        <v>109.75056689342404</v>
      </c>
      <c r="AR39" s="1" t="s">
        <v>332</v>
      </c>
      <c r="AS39" s="1">
        <v>0</v>
      </c>
      <c r="AU39" s="1">
        <v>1000</v>
      </c>
      <c r="AX39" s="1">
        <v>1</v>
      </c>
      <c r="AY39" s="1">
        <v>1000</v>
      </c>
      <c r="BA39" s="1">
        <v>1</v>
      </c>
      <c r="BB39" s="1" t="s">
        <v>220</v>
      </c>
      <c r="BE39" s="1">
        <v>4</v>
      </c>
      <c r="BF39" s="1">
        <v>0</v>
      </c>
      <c r="BG39" s="1">
        <v>0</v>
      </c>
      <c r="BJ39" s="1">
        <v>0</v>
      </c>
      <c r="BQ39" s="1">
        <v>1</v>
      </c>
    </row>
    <row r="40" spans="1:70" ht="187" x14ac:dyDescent="0.2">
      <c r="B40" s="1" t="s">
        <v>272</v>
      </c>
      <c r="C40" s="1">
        <v>2017</v>
      </c>
      <c r="D40" s="1" t="s">
        <v>216</v>
      </c>
      <c r="E40" s="1" t="s">
        <v>197</v>
      </c>
      <c r="F40" s="1" t="s">
        <v>371</v>
      </c>
      <c r="G40" s="1">
        <v>4.2999999999999997E-2</v>
      </c>
      <c r="H40" s="1">
        <v>2.1000000000000001E-2</v>
      </c>
      <c r="I40" s="1" t="s">
        <v>492</v>
      </c>
      <c r="M40" s="1">
        <v>0</v>
      </c>
      <c r="N40" s="1">
        <v>0</v>
      </c>
      <c r="O40" s="1">
        <v>1</v>
      </c>
      <c r="P40" s="1" t="s">
        <v>217</v>
      </c>
      <c r="Q40" s="1">
        <v>0</v>
      </c>
      <c r="R40" s="1" t="s">
        <v>535</v>
      </c>
      <c r="S40" s="1">
        <v>2</v>
      </c>
      <c r="T40" s="1">
        <v>0</v>
      </c>
      <c r="U40" s="1">
        <v>0</v>
      </c>
      <c r="V40" s="1" t="s">
        <v>486</v>
      </c>
      <c r="AA40" s="1">
        <v>0</v>
      </c>
      <c r="AB40" s="1">
        <v>0.44800000000000001</v>
      </c>
      <c r="AC40" s="1">
        <f>SQRT(AB40*(1-AB40))</f>
        <v>0.49728864857344174</v>
      </c>
      <c r="AD40" s="1" t="s">
        <v>218</v>
      </c>
      <c r="AE40" s="1">
        <v>9797</v>
      </c>
      <c r="AF40" s="1">
        <v>2012</v>
      </c>
      <c r="AG40" s="1" t="s">
        <v>219</v>
      </c>
      <c r="AH40" s="1">
        <v>0</v>
      </c>
      <c r="AI40" s="1">
        <v>2012</v>
      </c>
      <c r="AJ40" s="5" t="s">
        <v>494</v>
      </c>
      <c r="AK40" s="1" t="s">
        <v>197</v>
      </c>
      <c r="AO40" s="1" t="s">
        <v>126</v>
      </c>
      <c r="AP40" s="1" t="s">
        <v>588</v>
      </c>
      <c r="AQ40" s="1">
        <f>(0.66/0.063)^2</f>
        <v>109.75056689342404</v>
      </c>
      <c r="AR40" s="1" t="s">
        <v>332</v>
      </c>
      <c r="AS40" s="1">
        <v>0</v>
      </c>
      <c r="AU40" s="1">
        <v>1000</v>
      </c>
      <c r="AX40" s="1">
        <v>1</v>
      </c>
      <c r="AY40" s="1">
        <v>1000</v>
      </c>
      <c r="BA40" s="1">
        <v>1</v>
      </c>
      <c r="BB40" s="1" t="s">
        <v>220</v>
      </c>
      <c r="BE40" s="1">
        <v>4</v>
      </c>
      <c r="BF40" s="1">
        <v>0</v>
      </c>
      <c r="BG40" s="1">
        <v>0</v>
      </c>
      <c r="BJ40" s="1">
        <v>0</v>
      </c>
      <c r="BQ40" s="1">
        <v>1</v>
      </c>
    </row>
    <row r="41" spans="1:70" ht="213" customHeight="1" x14ac:dyDescent="0.2">
      <c r="A41" s="1" t="s">
        <v>603</v>
      </c>
      <c r="B41" s="1" t="s">
        <v>272</v>
      </c>
      <c r="C41" s="1">
        <v>2021</v>
      </c>
      <c r="D41" s="1" t="s">
        <v>128</v>
      </c>
      <c r="E41" s="1" t="s">
        <v>227</v>
      </c>
      <c r="F41" s="1" t="s">
        <v>351</v>
      </c>
      <c r="G41" s="1">
        <v>5.2900000000000003E-2</v>
      </c>
      <c r="H41" s="1">
        <v>2.0799999999999999E-2</v>
      </c>
      <c r="I41" s="1" t="s">
        <v>544</v>
      </c>
      <c r="M41" s="1">
        <v>1</v>
      </c>
      <c r="N41" s="1">
        <v>0</v>
      </c>
      <c r="O41" s="1">
        <v>0</v>
      </c>
      <c r="P41" s="1" t="s">
        <v>355</v>
      </c>
      <c r="Q41" s="1">
        <v>1</v>
      </c>
      <c r="R41" s="1" t="s">
        <v>537</v>
      </c>
      <c r="S41" s="1">
        <v>0</v>
      </c>
      <c r="T41" s="1">
        <v>0</v>
      </c>
      <c r="U41" s="1">
        <v>0</v>
      </c>
      <c r="AA41" s="1">
        <v>1</v>
      </c>
      <c r="AB41" s="1">
        <v>0.125</v>
      </c>
      <c r="AC41" s="1">
        <v>0.221</v>
      </c>
      <c r="AD41" s="1" t="s">
        <v>131</v>
      </c>
      <c r="AE41" s="1">
        <v>13208</v>
      </c>
      <c r="AF41" s="1">
        <v>2015</v>
      </c>
      <c r="AG41" s="1" t="s">
        <v>130</v>
      </c>
      <c r="AH41" s="1">
        <v>0</v>
      </c>
      <c r="AI41" s="1">
        <v>2015</v>
      </c>
      <c r="AK41" s="1" t="s">
        <v>339</v>
      </c>
      <c r="AO41" s="1" t="s">
        <v>126</v>
      </c>
      <c r="AP41" s="1" t="s">
        <v>588</v>
      </c>
      <c r="AQ41" s="1">
        <v>37.020000000000003</v>
      </c>
      <c r="AR41" s="1" t="s">
        <v>64</v>
      </c>
      <c r="AS41" s="1">
        <v>0</v>
      </c>
      <c r="AU41" s="1">
        <v>1000</v>
      </c>
      <c r="AX41" s="1">
        <v>1</v>
      </c>
      <c r="AY41" s="1">
        <v>-1200</v>
      </c>
      <c r="AZ41" s="1" t="s">
        <v>548</v>
      </c>
      <c r="BB41" s="1" t="s">
        <v>279</v>
      </c>
      <c r="BC41" s="1" t="s">
        <v>522</v>
      </c>
      <c r="BD41" s="1" t="s">
        <v>546</v>
      </c>
      <c r="BE41" s="1">
        <v>4</v>
      </c>
      <c r="BF41" s="1">
        <v>0</v>
      </c>
      <c r="BG41" s="1">
        <v>0</v>
      </c>
      <c r="BJ41" s="1">
        <v>0</v>
      </c>
      <c r="BQ41" s="1">
        <v>1</v>
      </c>
      <c r="BR41" s="1" t="s">
        <v>129</v>
      </c>
    </row>
    <row r="42" spans="1:70" ht="247" customHeight="1" x14ac:dyDescent="0.2">
      <c r="A42" s="1" t="s">
        <v>603</v>
      </c>
      <c r="B42" s="1" t="s">
        <v>272</v>
      </c>
      <c r="C42" s="1">
        <v>2021</v>
      </c>
      <c r="D42" s="1" t="s">
        <v>128</v>
      </c>
      <c r="E42" s="1" t="s">
        <v>226</v>
      </c>
      <c r="F42" s="1" t="s">
        <v>371</v>
      </c>
      <c r="G42" s="1">
        <v>2.01E-2</v>
      </c>
      <c r="H42" s="1">
        <v>7.0600000000000003E-3</v>
      </c>
      <c r="I42" s="1" t="s">
        <v>545</v>
      </c>
      <c r="M42" s="1">
        <v>1</v>
      </c>
      <c r="N42" s="1">
        <v>0</v>
      </c>
      <c r="O42" s="1">
        <v>0</v>
      </c>
      <c r="P42" s="1" t="s">
        <v>355</v>
      </c>
      <c r="Q42" s="1">
        <v>1</v>
      </c>
      <c r="R42" s="1" t="s">
        <v>537</v>
      </c>
      <c r="S42" s="1">
        <v>0</v>
      </c>
      <c r="T42" s="1">
        <v>0</v>
      </c>
      <c r="U42" s="1">
        <v>0</v>
      </c>
      <c r="AA42" s="1">
        <v>0</v>
      </c>
      <c r="AB42" s="1">
        <v>0.47499999999999998</v>
      </c>
      <c r="AC42" s="1">
        <f>SQRT(AB42*(1-AB42))</f>
        <v>0.49937460888595447</v>
      </c>
      <c r="AD42" s="1" t="s">
        <v>281</v>
      </c>
      <c r="AE42" s="1">
        <v>13208</v>
      </c>
      <c r="AF42" s="1">
        <v>2015</v>
      </c>
      <c r="AG42" s="1" t="s">
        <v>130</v>
      </c>
      <c r="AH42" s="1">
        <v>0</v>
      </c>
      <c r="AI42" s="1">
        <v>2015</v>
      </c>
      <c r="AK42" s="1" t="s">
        <v>339</v>
      </c>
      <c r="AO42" s="1" t="s">
        <v>126</v>
      </c>
      <c r="AP42" s="1" t="s">
        <v>588</v>
      </c>
      <c r="AQ42" s="1">
        <v>37.020000000000003</v>
      </c>
      <c r="AR42" s="1" t="s">
        <v>64</v>
      </c>
      <c r="AS42" s="1">
        <v>0</v>
      </c>
      <c r="AU42" s="1">
        <v>1000</v>
      </c>
      <c r="AX42" s="1">
        <v>1</v>
      </c>
      <c r="AY42" s="1">
        <v>-1200</v>
      </c>
      <c r="AZ42" s="1" t="s">
        <v>548</v>
      </c>
      <c r="BB42" s="1" t="s">
        <v>280</v>
      </c>
      <c r="BC42" s="1" t="s">
        <v>522</v>
      </c>
      <c r="BD42" s="1" t="s">
        <v>547</v>
      </c>
      <c r="BE42" s="1">
        <v>4</v>
      </c>
      <c r="BF42" s="1">
        <v>0</v>
      </c>
      <c r="BG42" s="1">
        <v>0</v>
      </c>
      <c r="BJ42" s="1">
        <v>0</v>
      </c>
      <c r="BQ42" s="1">
        <v>1</v>
      </c>
      <c r="BR42" s="1" t="s">
        <v>129</v>
      </c>
    </row>
    <row r="43" spans="1:70" ht="272" x14ac:dyDescent="0.2">
      <c r="B43" s="12" t="s">
        <v>213</v>
      </c>
      <c r="C43" s="1">
        <v>2015</v>
      </c>
      <c r="D43" s="1" t="s">
        <v>212</v>
      </c>
      <c r="E43" s="1" t="s">
        <v>196</v>
      </c>
      <c r="F43" s="1" t="s">
        <v>369</v>
      </c>
      <c r="G43" s="1">
        <v>8.6999999999999994E-3</v>
      </c>
      <c r="H43" s="1">
        <v>9.5999999999999992E-3</v>
      </c>
      <c r="I43" s="1" t="s">
        <v>475</v>
      </c>
      <c r="M43" s="1">
        <v>0</v>
      </c>
      <c r="N43" s="1">
        <v>0</v>
      </c>
      <c r="O43" s="1">
        <v>1</v>
      </c>
      <c r="P43" s="1" t="s">
        <v>341</v>
      </c>
      <c r="Q43" s="1">
        <v>1</v>
      </c>
      <c r="R43" s="1" t="s">
        <v>543</v>
      </c>
      <c r="S43" s="1">
        <v>0</v>
      </c>
      <c r="T43" s="1">
        <v>0</v>
      </c>
      <c r="U43" s="1">
        <v>1</v>
      </c>
      <c r="AA43" s="1">
        <v>0</v>
      </c>
      <c r="AB43" s="1">
        <v>0.77</v>
      </c>
      <c r="AC43" s="1">
        <f>SQRT(AB43*(1-AB43))</f>
        <v>0.42083250825001622</v>
      </c>
      <c r="AD43" s="1" t="s">
        <v>476</v>
      </c>
      <c r="AE43" s="1">
        <v>4232</v>
      </c>
      <c r="AF43" s="1">
        <v>2000</v>
      </c>
      <c r="AG43" s="1" t="s">
        <v>467</v>
      </c>
      <c r="AH43" s="1">
        <v>0</v>
      </c>
      <c r="AI43" s="1">
        <v>2000</v>
      </c>
      <c r="AK43" s="1" t="s">
        <v>196</v>
      </c>
      <c r="AO43" s="1" t="s">
        <v>54</v>
      </c>
      <c r="AP43" s="1" t="s">
        <v>587</v>
      </c>
      <c r="AQ43" s="1">
        <f>(55/((55-25)/1.65))^2</f>
        <v>9.1506249999999998</v>
      </c>
      <c r="AR43" s="1" t="s">
        <v>295</v>
      </c>
      <c r="AS43" s="1">
        <v>0</v>
      </c>
      <c r="AU43" s="1">
        <v>85</v>
      </c>
      <c r="AV43" s="1">
        <f>((90-45)/1.645)</f>
        <v>27.355623100303951</v>
      </c>
      <c r="AX43" s="1">
        <v>0</v>
      </c>
      <c r="BB43" s="1" t="s">
        <v>228</v>
      </c>
      <c r="BE43" s="1">
        <v>12</v>
      </c>
      <c r="BF43" s="1">
        <v>0</v>
      </c>
      <c r="BG43" s="1">
        <v>0</v>
      </c>
      <c r="BJ43" s="1">
        <v>0</v>
      </c>
      <c r="BQ43" s="1">
        <v>1</v>
      </c>
    </row>
    <row r="44" spans="1:70" s="4" customFormat="1" ht="239" customHeight="1" x14ac:dyDescent="0.2">
      <c r="A44" s="1"/>
      <c r="B44" s="12" t="s">
        <v>213</v>
      </c>
      <c r="C44" s="1">
        <v>2015</v>
      </c>
      <c r="D44" s="1" t="s">
        <v>212</v>
      </c>
      <c r="E44" s="1" t="s">
        <v>196</v>
      </c>
      <c r="F44" s="1" t="s">
        <v>369</v>
      </c>
      <c r="G44" s="1">
        <v>5.33E-2</v>
      </c>
      <c r="H44" s="1">
        <v>1.6400000000000001E-2</v>
      </c>
      <c r="I44" s="1" t="s">
        <v>229</v>
      </c>
      <c r="J44" s="1"/>
      <c r="K44" s="1"/>
      <c r="L44" s="1"/>
      <c r="M44" s="1">
        <v>0</v>
      </c>
      <c r="N44" s="1">
        <v>1</v>
      </c>
      <c r="O44" s="1">
        <v>0</v>
      </c>
      <c r="P44" s="1" t="s">
        <v>341</v>
      </c>
      <c r="Q44" s="1">
        <v>1</v>
      </c>
      <c r="R44" s="1" t="s">
        <v>543</v>
      </c>
      <c r="S44" s="1">
        <v>0</v>
      </c>
      <c r="T44" s="1">
        <v>0</v>
      </c>
      <c r="U44" s="1">
        <v>1</v>
      </c>
      <c r="V44" s="1"/>
      <c r="W44" s="1"/>
      <c r="X44" s="1"/>
      <c r="Y44" s="1"/>
      <c r="Z44" s="1"/>
      <c r="AA44" s="1">
        <v>0</v>
      </c>
      <c r="AB44" s="1">
        <v>0.77</v>
      </c>
      <c r="AC44" s="1">
        <f>SQRT(AB44*(1-AB44))</f>
        <v>0.42083250825001622</v>
      </c>
      <c r="AD44" s="1" t="s">
        <v>476</v>
      </c>
      <c r="AE44" s="1">
        <v>3739</v>
      </c>
      <c r="AF44" s="1">
        <v>2000</v>
      </c>
      <c r="AG44" s="1" t="s">
        <v>232</v>
      </c>
      <c r="AH44" s="1">
        <v>0</v>
      </c>
      <c r="AI44" s="1">
        <v>2000</v>
      </c>
      <c r="AJ44" s="5"/>
      <c r="AK44" s="1" t="s">
        <v>196</v>
      </c>
      <c r="AL44" s="1"/>
      <c r="AM44" s="1"/>
      <c r="AN44" s="1"/>
      <c r="AO44" s="1" t="s">
        <v>54</v>
      </c>
      <c r="AP44" s="1" t="s">
        <v>587</v>
      </c>
      <c r="AQ44" s="1">
        <f>(55/((55-25)/1.65))^2</f>
        <v>9.1506249999999998</v>
      </c>
      <c r="AR44" s="1" t="s">
        <v>295</v>
      </c>
      <c r="AS44" s="1">
        <v>0</v>
      </c>
      <c r="AT44" s="1"/>
      <c r="AU44" s="1">
        <v>85</v>
      </c>
      <c r="AV44" s="1">
        <f>((90-45)/1.645)</f>
        <v>27.355623100303951</v>
      </c>
      <c r="AW44" s="1"/>
      <c r="AX44" s="1">
        <v>0</v>
      </c>
      <c r="AY44" s="1"/>
      <c r="AZ44" s="1"/>
      <c r="BA44" s="1"/>
      <c r="BB44" s="1" t="s">
        <v>228</v>
      </c>
      <c r="BC44" s="1"/>
      <c r="BD44" s="1"/>
      <c r="BE44" s="1">
        <v>12</v>
      </c>
      <c r="BF44" s="1">
        <v>0</v>
      </c>
      <c r="BG44" s="1">
        <v>0</v>
      </c>
      <c r="BH44" s="1"/>
      <c r="BI44" s="1"/>
      <c r="BJ44" s="1">
        <v>0</v>
      </c>
      <c r="BK44" s="1"/>
      <c r="BL44" s="1"/>
      <c r="BM44" s="1"/>
      <c r="BN44" s="1"/>
      <c r="BO44" s="1"/>
      <c r="BP44" s="1"/>
      <c r="BQ44" s="1">
        <v>1</v>
      </c>
      <c r="BR44" s="1"/>
    </row>
    <row r="45" spans="1:70" ht="272" x14ac:dyDescent="0.2">
      <c r="B45" s="12" t="s">
        <v>213</v>
      </c>
      <c r="C45" s="1">
        <v>2015</v>
      </c>
      <c r="D45" s="1" t="s">
        <v>212</v>
      </c>
      <c r="E45" s="1" t="s">
        <v>196</v>
      </c>
      <c r="F45" s="1" t="s">
        <v>369</v>
      </c>
      <c r="G45" s="1">
        <f>0.0225</f>
        <v>2.2499999999999999E-2</v>
      </c>
      <c r="H45" s="1">
        <f>0.0093</f>
        <v>9.2999999999999992E-3</v>
      </c>
      <c r="I45" s="1" t="s">
        <v>230</v>
      </c>
      <c r="M45" s="1">
        <v>1</v>
      </c>
      <c r="N45" s="1">
        <v>0</v>
      </c>
      <c r="O45" s="1">
        <v>0</v>
      </c>
      <c r="P45" s="1" t="s">
        <v>341</v>
      </c>
      <c r="Q45" s="1">
        <v>1</v>
      </c>
      <c r="R45" s="1" t="s">
        <v>543</v>
      </c>
      <c r="S45" s="1">
        <v>0</v>
      </c>
      <c r="T45" s="1">
        <v>0</v>
      </c>
      <c r="U45" s="1">
        <v>1</v>
      </c>
      <c r="AA45" s="1">
        <v>0</v>
      </c>
      <c r="AB45" s="1">
        <v>0.77</v>
      </c>
      <c r="AC45" s="1">
        <f>SQRT(AB45*(1-AB45))</f>
        <v>0.42083250825001622</v>
      </c>
      <c r="AD45" s="1" t="s">
        <v>476</v>
      </c>
      <c r="AE45" s="1">
        <v>4187</v>
      </c>
      <c r="AF45" s="1">
        <v>2000</v>
      </c>
      <c r="AG45" s="1" t="s">
        <v>231</v>
      </c>
      <c r="AH45" s="1">
        <v>0</v>
      </c>
      <c r="AI45" s="1">
        <v>2000</v>
      </c>
      <c r="AK45" s="1" t="s">
        <v>196</v>
      </c>
      <c r="AO45" s="1" t="s">
        <v>54</v>
      </c>
      <c r="AP45" s="1" t="s">
        <v>587</v>
      </c>
      <c r="AQ45" s="1">
        <f>(55/((55-25)/1.65))^2</f>
        <v>9.1506249999999998</v>
      </c>
      <c r="AR45" s="1" t="s">
        <v>295</v>
      </c>
      <c r="AS45" s="1">
        <v>0</v>
      </c>
      <c r="AU45" s="1">
        <f>85</f>
        <v>85</v>
      </c>
      <c r="AV45" s="1">
        <f>((90-45)/1.645)</f>
        <v>27.355623100303951</v>
      </c>
      <c r="AX45" s="1">
        <v>0</v>
      </c>
      <c r="BB45" s="1" t="s">
        <v>228</v>
      </c>
      <c r="BC45" s="1" t="s">
        <v>523</v>
      </c>
      <c r="BD45" s="1" t="s">
        <v>592</v>
      </c>
      <c r="BE45" s="1">
        <v>12</v>
      </c>
      <c r="BF45" s="1">
        <v>0</v>
      </c>
      <c r="BG45" s="1">
        <v>0</v>
      </c>
      <c r="BJ45" s="1">
        <v>0</v>
      </c>
      <c r="BQ45" s="1">
        <v>1</v>
      </c>
    </row>
    <row r="46" spans="1:70" ht="272" x14ac:dyDescent="0.2">
      <c r="B46" s="12" t="s">
        <v>213</v>
      </c>
      <c r="C46" s="1">
        <v>2015</v>
      </c>
      <c r="D46" s="1" t="s">
        <v>212</v>
      </c>
      <c r="E46" s="1" t="s">
        <v>196</v>
      </c>
      <c r="F46" s="1" t="s">
        <v>375</v>
      </c>
      <c r="G46" s="1">
        <v>10</v>
      </c>
      <c r="H46" s="1">
        <v>0.5</v>
      </c>
      <c r="I46" s="1" t="s">
        <v>340</v>
      </c>
      <c r="M46" s="1">
        <v>1</v>
      </c>
      <c r="N46" s="1">
        <v>0</v>
      </c>
      <c r="O46" s="1">
        <v>0</v>
      </c>
      <c r="P46" s="1" t="s">
        <v>341</v>
      </c>
      <c r="Q46" s="1">
        <v>0</v>
      </c>
      <c r="R46" s="1" t="s">
        <v>543</v>
      </c>
      <c r="S46" s="1">
        <v>0</v>
      </c>
      <c r="T46" s="1">
        <v>0</v>
      </c>
      <c r="U46" s="1">
        <v>0</v>
      </c>
      <c r="AA46" s="1">
        <v>1</v>
      </c>
      <c r="AK46" s="1" t="s">
        <v>196</v>
      </c>
      <c r="AO46" s="1" t="s">
        <v>54</v>
      </c>
      <c r="AP46" s="1" t="s">
        <v>587</v>
      </c>
      <c r="AU46" s="1">
        <v>1000</v>
      </c>
      <c r="AX46" s="1">
        <v>1</v>
      </c>
      <c r="AY46" s="1">
        <v>1000</v>
      </c>
      <c r="BE46" s="1">
        <v>12</v>
      </c>
      <c r="BF46" s="1">
        <v>0</v>
      </c>
      <c r="BG46" s="1">
        <v>0</v>
      </c>
      <c r="BJ46" s="1">
        <v>0</v>
      </c>
      <c r="BQ46" s="1">
        <v>1</v>
      </c>
    </row>
    <row r="47" spans="1:70" ht="372" x14ac:dyDescent="0.2">
      <c r="B47" s="1" t="s">
        <v>244</v>
      </c>
      <c r="C47" s="1">
        <v>2016</v>
      </c>
      <c r="D47" s="1" t="s">
        <v>214</v>
      </c>
      <c r="E47" s="1" t="s">
        <v>595</v>
      </c>
      <c r="F47" s="1" t="s">
        <v>369</v>
      </c>
      <c r="G47" s="1">
        <v>2.47E-2</v>
      </c>
      <c r="H47" s="1">
        <v>1.7569999999999999E-2</v>
      </c>
      <c r="I47" s="1" t="s">
        <v>477</v>
      </c>
      <c r="M47" s="1">
        <v>0</v>
      </c>
      <c r="N47" s="1">
        <v>0</v>
      </c>
      <c r="O47" s="1">
        <v>1</v>
      </c>
      <c r="P47" s="1" t="s">
        <v>221</v>
      </c>
      <c r="Q47" s="1">
        <v>1</v>
      </c>
      <c r="R47" s="1" t="s">
        <v>199</v>
      </c>
      <c r="S47" s="1">
        <v>0</v>
      </c>
      <c r="T47" s="1">
        <v>0</v>
      </c>
      <c r="U47" s="1">
        <v>0</v>
      </c>
      <c r="AA47" s="1">
        <v>0</v>
      </c>
      <c r="AB47" s="1">
        <v>0.77</v>
      </c>
      <c r="AC47" s="1">
        <f>SQRT(AB47*(1-AB47))</f>
        <v>0.42083250825001622</v>
      </c>
      <c r="AD47" s="1" t="s">
        <v>476</v>
      </c>
      <c r="AE47" s="1">
        <v>4873</v>
      </c>
      <c r="AF47" s="1">
        <v>2000</v>
      </c>
      <c r="AG47" s="1" t="s">
        <v>466</v>
      </c>
      <c r="AH47" s="1">
        <v>0</v>
      </c>
      <c r="AI47" s="1">
        <v>2000</v>
      </c>
      <c r="AJ47" s="5" t="s">
        <v>397</v>
      </c>
      <c r="AK47" s="1" t="s">
        <v>192</v>
      </c>
      <c r="AO47" s="1" t="s">
        <v>126</v>
      </c>
      <c r="AP47" s="1" t="s">
        <v>587</v>
      </c>
      <c r="AU47" s="1">
        <f>0.1*AE47</f>
        <v>487.3</v>
      </c>
      <c r="AX47" s="1">
        <v>0</v>
      </c>
      <c r="BB47" s="1" t="s">
        <v>215</v>
      </c>
      <c r="BE47" s="1">
        <v>12</v>
      </c>
      <c r="BF47" s="1">
        <v>0</v>
      </c>
      <c r="BG47" s="1">
        <v>0</v>
      </c>
      <c r="BJ47" s="1">
        <v>1</v>
      </c>
      <c r="BQ47" s="1">
        <v>1</v>
      </c>
    </row>
    <row r="48" spans="1:70" ht="372" x14ac:dyDescent="0.2">
      <c r="B48" s="1" t="s">
        <v>244</v>
      </c>
      <c r="C48" s="1">
        <v>2016</v>
      </c>
      <c r="D48" s="1" t="s">
        <v>214</v>
      </c>
      <c r="E48" s="1" t="s">
        <v>595</v>
      </c>
      <c r="F48" s="1" t="s">
        <v>369</v>
      </c>
      <c r="G48" s="1">
        <v>9.8780000000000007E-2</v>
      </c>
      <c r="H48" s="1">
        <v>2.7439999999999999E-2</v>
      </c>
      <c r="I48" s="1" t="s">
        <v>223</v>
      </c>
      <c r="M48" s="1">
        <v>0</v>
      </c>
      <c r="N48" s="1">
        <v>1</v>
      </c>
      <c r="O48" s="1">
        <v>0</v>
      </c>
      <c r="P48" s="1" t="s">
        <v>221</v>
      </c>
      <c r="Q48" s="1">
        <v>1</v>
      </c>
      <c r="R48" s="1" t="s">
        <v>199</v>
      </c>
      <c r="S48" s="1">
        <v>0</v>
      </c>
      <c r="T48" s="1">
        <v>0</v>
      </c>
      <c r="U48" s="1">
        <v>0</v>
      </c>
      <c r="AA48" s="1">
        <v>0</v>
      </c>
      <c r="AB48" s="1">
        <v>0.77</v>
      </c>
      <c r="AC48" s="1">
        <f>SQRT(AB48*(1-AB48))</f>
        <v>0.42083250825001622</v>
      </c>
      <c r="AD48" s="1" t="s">
        <v>476</v>
      </c>
      <c r="AE48" s="1">
        <v>4706</v>
      </c>
      <c r="AF48" s="1">
        <v>2000</v>
      </c>
      <c r="AG48" s="1" t="s">
        <v>225</v>
      </c>
      <c r="AH48" s="1">
        <v>0</v>
      </c>
      <c r="AI48" s="1">
        <v>2000</v>
      </c>
      <c r="AJ48" s="5" t="s">
        <v>397</v>
      </c>
      <c r="AK48" s="1" t="s">
        <v>192</v>
      </c>
      <c r="AO48" s="1" t="s">
        <v>126</v>
      </c>
      <c r="AP48" s="1" t="s">
        <v>587</v>
      </c>
      <c r="AQ48" s="1">
        <v>22.41</v>
      </c>
      <c r="AR48" s="1" t="s">
        <v>405</v>
      </c>
      <c r="AS48" s="1">
        <v>1</v>
      </c>
      <c r="AU48" s="1">
        <f>0.1*AE48</f>
        <v>470.6</v>
      </c>
      <c r="AX48" s="1">
        <v>0</v>
      </c>
      <c r="BB48" s="1" t="s">
        <v>215</v>
      </c>
      <c r="BE48" s="1">
        <v>12</v>
      </c>
      <c r="BF48" s="1">
        <v>0</v>
      </c>
      <c r="BG48" s="1">
        <v>0</v>
      </c>
      <c r="BJ48" s="1">
        <v>1</v>
      </c>
      <c r="BQ48" s="1">
        <v>1</v>
      </c>
    </row>
    <row r="49" spans="1:70" ht="372" x14ac:dyDescent="0.2">
      <c r="B49" s="1" t="s">
        <v>244</v>
      </c>
      <c r="C49" s="1">
        <v>2016</v>
      </c>
      <c r="D49" s="1" t="s">
        <v>214</v>
      </c>
      <c r="E49" s="1" t="s">
        <v>595</v>
      </c>
      <c r="F49" s="1" t="s">
        <v>369</v>
      </c>
      <c r="G49" s="1">
        <v>7.0529999999999995E-2</v>
      </c>
      <c r="H49" s="1">
        <v>1.436E-2</v>
      </c>
      <c r="I49" s="1" t="s">
        <v>222</v>
      </c>
      <c r="M49" s="1">
        <v>1</v>
      </c>
      <c r="N49" s="1">
        <v>0</v>
      </c>
      <c r="O49" s="1">
        <v>0</v>
      </c>
      <c r="P49" s="1" t="s">
        <v>221</v>
      </c>
      <c r="Q49" s="1">
        <v>1</v>
      </c>
      <c r="R49" s="1" t="s">
        <v>199</v>
      </c>
      <c r="S49" s="1">
        <v>0</v>
      </c>
      <c r="T49" s="1">
        <v>0</v>
      </c>
      <c r="U49" s="1">
        <v>0</v>
      </c>
      <c r="AA49" s="1">
        <v>0</v>
      </c>
      <c r="AB49" s="1">
        <v>0.77</v>
      </c>
      <c r="AC49" s="1">
        <f>SQRT(AB49*(1-AB49))</f>
        <v>0.42083250825001622</v>
      </c>
      <c r="AD49" s="1" t="s">
        <v>476</v>
      </c>
      <c r="AE49" s="1">
        <v>4800</v>
      </c>
      <c r="AF49" s="1">
        <v>2000</v>
      </c>
      <c r="AG49" s="1" t="s">
        <v>224</v>
      </c>
      <c r="AH49" s="1">
        <v>0</v>
      </c>
      <c r="AI49" s="1">
        <v>2000</v>
      </c>
      <c r="AJ49" s="5" t="s">
        <v>397</v>
      </c>
      <c r="AK49" s="1" t="s">
        <v>192</v>
      </c>
      <c r="AO49" s="1" t="s">
        <v>126</v>
      </c>
      <c r="AP49" s="1" t="s">
        <v>587</v>
      </c>
      <c r="AQ49" s="1">
        <v>22.41</v>
      </c>
      <c r="AR49" s="1" t="s">
        <v>405</v>
      </c>
      <c r="AS49" s="1">
        <v>1</v>
      </c>
      <c r="AU49" s="1">
        <f>0.1*AE49</f>
        <v>480</v>
      </c>
      <c r="AX49" s="1">
        <v>0</v>
      </c>
      <c r="BB49" s="1" t="s">
        <v>215</v>
      </c>
      <c r="BC49" s="1" t="s">
        <v>428</v>
      </c>
      <c r="BD49" s="1" t="s">
        <v>591</v>
      </c>
      <c r="BE49" s="1">
        <v>12</v>
      </c>
      <c r="BF49" s="1">
        <v>0</v>
      </c>
      <c r="BG49" s="1">
        <v>0</v>
      </c>
      <c r="BJ49" s="1">
        <v>1</v>
      </c>
      <c r="BQ49" s="1">
        <v>1</v>
      </c>
    </row>
    <row r="50" spans="1:70" ht="372" x14ac:dyDescent="0.2">
      <c r="B50" s="1" t="s">
        <v>244</v>
      </c>
      <c r="C50" s="1">
        <v>2016</v>
      </c>
      <c r="D50" s="1" t="s">
        <v>214</v>
      </c>
      <c r="E50" s="1" t="s">
        <v>595</v>
      </c>
      <c r="F50" s="1" t="s">
        <v>374</v>
      </c>
      <c r="G50" s="1">
        <v>10</v>
      </c>
      <c r="H50" s="1">
        <v>0.5</v>
      </c>
      <c r="I50" s="1" t="s">
        <v>340</v>
      </c>
      <c r="M50" s="1">
        <v>1</v>
      </c>
      <c r="N50" s="1">
        <v>0</v>
      </c>
      <c r="O50" s="1">
        <v>0</v>
      </c>
      <c r="P50" s="1" t="s">
        <v>221</v>
      </c>
      <c r="Q50" s="1">
        <v>1</v>
      </c>
      <c r="R50" s="1" t="s">
        <v>199</v>
      </c>
      <c r="S50" s="1">
        <v>0</v>
      </c>
      <c r="T50" s="1">
        <v>0</v>
      </c>
      <c r="U50" s="1">
        <v>0</v>
      </c>
      <c r="AA50" s="1">
        <v>1</v>
      </c>
      <c r="AI50" s="1">
        <v>2000</v>
      </c>
      <c r="AK50" s="1" t="s">
        <v>192</v>
      </c>
      <c r="AO50" s="1" t="s">
        <v>126</v>
      </c>
      <c r="AP50" s="1" t="s">
        <v>587</v>
      </c>
      <c r="AU50" s="1">
        <v>1000</v>
      </c>
      <c r="BE50" s="1">
        <v>12</v>
      </c>
      <c r="BF50" s="1">
        <v>0</v>
      </c>
      <c r="BG50" s="1">
        <v>0</v>
      </c>
      <c r="BJ50" s="1">
        <v>0</v>
      </c>
      <c r="BQ50" s="1">
        <v>1</v>
      </c>
    </row>
    <row r="51" spans="1:70" ht="306" x14ac:dyDescent="0.2">
      <c r="A51" s="1" t="s">
        <v>603</v>
      </c>
      <c r="B51" s="1" t="s">
        <v>599</v>
      </c>
      <c r="C51" s="1">
        <v>2017</v>
      </c>
      <c r="D51" s="1" t="s">
        <v>32</v>
      </c>
      <c r="E51" s="1" t="s">
        <v>31</v>
      </c>
      <c r="F51" s="1" t="s">
        <v>351</v>
      </c>
      <c r="G51" s="7">
        <v>-6.6467264872050527E-3</v>
      </c>
      <c r="H51" s="7">
        <v>4.030764848312207E-3</v>
      </c>
      <c r="I51" s="1" t="s">
        <v>348</v>
      </c>
      <c r="M51" s="1">
        <v>1</v>
      </c>
      <c r="N51" s="1">
        <v>0</v>
      </c>
      <c r="O51" s="1">
        <v>0</v>
      </c>
      <c r="P51" s="1" t="s">
        <v>33</v>
      </c>
      <c r="Q51" s="1">
        <v>0</v>
      </c>
      <c r="R51" s="1" t="s">
        <v>538</v>
      </c>
      <c r="S51" s="1">
        <v>2</v>
      </c>
      <c r="T51" s="1">
        <v>0</v>
      </c>
      <c r="U51" s="1">
        <v>1</v>
      </c>
      <c r="W51" s="7"/>
      <c r="X51" s="7"/>
      <c r="Y51" s="7"/>
      <c r="Z51" s="7"/>
      <c r="AA51" s="1">
        <v>1</v>
      </c>
      <c r="AB51" s="1">
        <v>0.11</v>
      </c>
      <c r="AC51" s="1">
        <v>0.96799999999999997</v>
      </c>
      <c r="AD51" s="1" t="s">
        <v>150</v>
      </c>
      <c r="AE51" s="1">
        <v>12000</v>
      </c>
      <c r="AF51" s="1">
        <v>2010</v>
      </c>
      <c r="AG51" s="1" t="s">
        <v>148</v>
      </c>
      <c r="AH51" s="1">
        <v>0</v>
      </c>
      <c r="AI51" s="1">
        <v>2010</v>
      </c>
      <c r="AK51" s="1" t="s">
        <v>31</v>
      </c>
      <c r="AO51" s="1" t="s">
        <v>126</v>
      </c>
      <c r="AP51" s="1" t="s">
        <v>23</v>
      </c>
      <c r="AQ51" s="1">
        <f>(0.0435/0.0119)^2</f>
        <v>13.362403785043425</v>
      </c>
      <c r="AR51" s="1" t="s">
        <v>46</v>
      </c>
      <c r="AS51" s="1">
        <v>0</v>
      </c>
      <c r="AU51" s="1">
        <f>AVERAGE(-0.0187,-0.0435,-0.0385,-0.000332)*AE51</f>
        <v>-303.096</v>
      </c>
      <c r="AV51" s="1">
        <f>SQRT(0.25^2*((0.00852^2)+(0.0119^2)+(0.0154^2)+(0.0173^2)))*AE51</f>
        <v>82.193999781005914</v>
      </c>
      <c r="AX51" s="1">
        <v>0</v>
      </c>
      <c r="BB51" s="1" t="s">
        <v>46</v>
      </c>
      <c r="BC51" s="8" t="s">
        <v>524</v>
      </c>
      <c r="BD51" s="8" t="s">
        <v>429</v>
      </c>
      <c r="BE51" s="1">
        <v>4</v>
      </c>
      <c r="BF51" s="1">
        <v>0</v>
      </c>
      <c r="BG51" s="1">
        <v>1</v>
      </c>
      <c r="BH51" s="8"/>
      <c r="BI51" s="8"/>
      <c r="BJ51" s="1">
        <v>0</v>
      </c>
      <c r="BQ51" s="1">
        <v>1</v>
      </c>
      <c r="BR51" s="1" t="s">
        <v>149</v>
      </c>
    </row>
    <row r="52" spans="1:70" ht="238" x14ac:dyDescent="0.2">
      <c r="A52" s="1" t="s">
        <v>603</v>
      </c>
      <c r="B52" s="1" t="s">
        <v>116</v>
      </c>
      <c r="C52" s="1">
        <v>2019</v>
      </c>
      <c r="D52" s="1" t="s">
        <v>49</v>
      </c>
      <c r="E52" s="1" t="s">
        <v>233</v>
      </c>
      <c r="F52" s="1" t="s">
        <v>351</v>
      </c>
      <c r="G52" s="1">
        <v>1.7999999999999999E-2</v>
      </c>
      <c r="H52" s="1">
        <v>2.9000000000000001E-2</v>
      </c>
      <c r="I52" s="1" t="s">
        <v>473</v>
      </c>
      <c r="J52" s="1">
        <v>4.1000000000000002E-2</v>
      </c>
      <c r="K52" s="1">
        <v>2.5000000000000001E-2</v>
      </c>
      <c r="L52" s="1" t="s">
        <v>474</v>
      </c>
      <c r="M52" s="1">
        <v>0</v>
      </c>
      <c r="N52" s="1">
        <v>0</v>
      </c>
      <c r="O52" s="1">
        <v>1</v>
      </c>
      <c r="P52" s="1" t="s">
        <v>366</v>
      </c>
      <c r="Q52" s="1">
        <v>0</v>
      </c>
      <c r="R52" s="1" t="s">
        <v>536</v>
      </c>
      <c r="S52" s="1">
        <v>1</v>
      </c>
      <c r="T52" s="1">
        <v>2</v>
      </c>
      <c r="U52" s="1">
        <v>0</v>
      </c>
      <c r="V52" s="1" t="s">
        <v>487</v>
      </c>
      <c r="AA52" s="1">
        <v>1</v>
      </c>
      <c r="AB52" s="1">
        <v>0.03</v>
      </c>
      <c r="AC52" s="1">
        <v>0.26</v>
      </c>
      <c r="AD52" s="1" t="s">
        <v>80</v>
      </c>
      <c r="AE52" s="1">
        <v>12622</v>
      </c>
      <c r="AF52" s="1">
        <v>2011</v>
      </c>
      <c r="AG52" s="1" t="s">
        <v>79</v>
      </c>
      <c r="AH52" s="1">
        <v>0</v>
      </c>
      <c r="AI52" s="1">
        <v>2011</v>
      </c>
      <c r="AJ52" s="5" t="s">
        <v>391</v>
      </c>
      <c r="AK52" s="1" t="s">
        <v>24</v>
      </c>
      <c r="AL52" s="1" t="s">
        <v>174</v>
      </c>
      <c r="AO52" s="1" t="s">
        <v>126</v>
      </c>
      <c r="AP52" s="1" t="s">
        <v>588</v>
      </c>
      <c r="AQ52" s="1">
        <v>19.2</v>
      </c>
      <c r="AR52" s="1" t="s">
        <v>299</v>
      </c>
      <c r="AS52" s="1">
        <v>0</v>
      </c>
      <c r="AU52" s="1">
        <v>1000</v>
      </c>
      <c r="AX52" s="1">
        <v>1</v>
      </c>
      <c r="AY52" s="1">
        <v>2000</v>
      </c>
      <c r="AZ52" s="1" t="s">
        <v>530</v>
      </c>
      <c r="BB52" s="1" t="s">
        <v>284</v>
      </c>
      <c r="BE52" s="1">
        <v>4</v>
      </c>
      <c r="BF52" s="1">
        <v>1</v>
      </c>
      <c r="BG52" s="1">
        <v>0</v>
      </c>
      <c r="BJ52" s="1">
        <v>0</v>
      </c>
      <c r="BQ52" s="1">
        <v>0</v>
      </c>
      <c r="BR52" s="1" t="s">
        <v>78</v>
      </c>
    </row>
    <row r="53" spans="1:70" ht="238" x14ac:dyDescent="0.2">
      <c r="A53" s="1" t="s">
        <v>603</v>
      </c>
      <c r="B53" s="1" t="s">
        <v>116</v>
      </c>
      <c r="C53" s="1">
        <v>2019</v>
      </c>
      <c r="D53" s="1" t="s">
        <v>49</v>
      </c>
      <c r="E53" s="1" t="s">
        <v>233</v>
      </c>
      <c r="F53" s="1" t="s">
        <v>351</v>
      </c>
      <c r="G53" s="1">
        <v>6.6000000000000003E-2</v>
      </c>
      <c r="H53" s="1">
        <v>2.9000000000000001E-2</v>
      </c>
      <c r="I53" s="1" t="s">
        <v>184</v>
      </c>
      <c r="J53" s="1">
        <v>7.1999999999999995E-2</v>
      </c>
      <c r="K53" s="1">
        <v>2.4E-2</v>
      </c>
      <c r="L53" s="1" t="s">
        <v>185</v>
      </c>
      <c r="M53" s="1">
        <v>0</v>
      </c>
      <c r="N53" s="1">
        <v>1</v>
      </c>
      <c r="O53" s="1">
        <v>0</v>
      </c>
      <c r="P53" s="1" t="s">
        <v>366</v>
      </c>
      <c r="Q53" s="1">
        <v>0</v>
      </c>
      <c r="R53" s="1" t="s">
        <v>536</v>
      </c>
      <c r="S53" s="1">
        <v>1</v>
      </c>
      <c r="T53" s="1">
        <v>2</v>
      </c>
      <c r="U53" s="1">
        <v>0</v>
      </c>
      <c r="V53" s="1" t="s">
        <v>487</v>
      </c>
      <c r="AA53" s="1">
        <v>1</v>
      </c>
      <c r="AB53" s="1">
        <v>0.03</v>
      </c>
      <c r="AC53" s="1">
        <v>0.26</v>
      </c>
      <c r="AD53" s="1" t="s">
        <v>80</v>
      </c>
      <c r="AE53" s="1">
        <v>12622</v>
      </c>
      <c r="AF53" s="1">
        <v>2011</v>
      </c>
      <c r="AG53" s="1" t="s">
        <v>79</v>
      </c>
      <c r="AH53" s="1">
        <v>0</v>
      </c>
      <c r="AI53" s="1">
        <v>2011</v>
      </c>
      <c r="AJ53" s="5" t="s">
        <v>391</v>
      </c>
      <c r="AK53" s="1" t="s">
        <v>24</v>
      </c>
      <c r="AL53" s="1" t="s">
        <v>174</v>
      </c>
      <c r="AO53" s="1" t="s">
        <v>126</v>
      </c>
      <c r="AP53" s="1" t="s">
        <v>588</v>
      </c>
      <c r="AQ53" s="1">
        <v>19.2</v>
      </c>
      <c r="AR53" s="1" t="s">
        <v>299</v>
      </c>
      <c r="AS53" s="1">
        <v>0</v>
      </c>
      <c r="AU53" s="1">
        <v>1000</v>
      </c>
      <c r="AX53" s="1">
        <v>1</v>
      </c>
      <c r="AY53" s="1">
        <v>2000</v>
      </c>
      <c r="AZ53" s="1" t="s">
        <v>530</v>
      </c>
      <c r="BB53" s="1" t="s">
        <v>284</v>
      </c>
      <c r="BE53" s="1">
        <v>4</v>
      </c>
      <c r="BF53" s="1">
        <v>1</v>
      </c>
      <c r="BG53" s="1">
        <v>0</v>
      </c>
      <c r="BJ53" s="1">
        <v>0</v>
      </c>
      <c r="BQ53" s="1">
        <v>0</v>
      </c>
      <c r="BR53" s="1" t="s">
        <v>78</v>
      </c>
    </row>
    <row r="54" spans="1:70" ht="238" x14ac:dyDescent="0.2">
      <c r="A54" s="1" t="s">
        <v>603</v>
      </c>
      <c r="B54" s="1" t="s">
        <v>116</v>
      </c>
      <c r="C54" s="1">
        <v>2019</v>
      </c>
      <c r="D54" s="1" t="s">
        <v>49</v>
      </c>
      <c r="E54" s="1" t="s">
        <v>233</v>
      </c>
      <c r="F54" s="1" t="s">
        <v>351</v>
      </c>
      <c r="G54" s="1">
        <v>7.6999999999999999E-2</v>
      </c>
      <c r="H54" s="1">
        <v>3.2000000000000001E-2</v>
      </c>
      <c r="I54" s="1" t="s">
        <v>165</v>
      </c>
      <c r="J54" s="1">
        <v>9.7000000000000003E-2</v>
      </c>
      <c r="K54" s="1">
        <v>2.9000000000000001E-2</v>
      </c>
      <c r="L54" s="1" t="s">
        <v>166</v>
      </c>
      <c r="M54" s="1">
        <v>1</v>
      </c>
      <c r="N54" s="1">
        <v>0</v>
      </c>
      <c r="O54" s="1">
        <v>0</v>
      </c>
      <c r="P54" s="1" t="s">
        <v>366</v>
      </c>
      <c r="Q54" s="1">
        <v>0</v>
      </c>
      <c r="R54" s="1" t="s">
        <v>536</v>
      </c>
      <c r="S54" s="1">
        <v>1</v>
      </c>
      <c r="T54" s="1">
        <v>2</v>
      </c>
      <c r="U54" s="1">
        <v>0</v>
      </c>
      <c r="V54" s="1" t="s">
        <v>487</v>
      </c>
      <c r="AA54" s="1">
        <v>1</v>
      </c>
      <c r="AB54" s="1">
        <v>0.03</v>
      </c>
      <c r="AC54" s="1">
        <v>0.26</v>
      </c>
      <c r="AD54" s="1" t="s">
        <v>80</v>
      </c>
      <c r="AE54" s="1">
        <v>12622</v>
      </c>
      <c r="AG54" s="1" t="s">
        <v>79</v>
      </c>
      <c r="AH54" s="1">
        <v>0</v>
      </c>
      <c r="AI54" s="1">
        <v>2011</v>
      </c>
      <c r="AJ54" s="5" t="s">
        <v>391</v>
      </c>
      <c r="AK54" s="1" t="s">
        <v>24</v>
      </c>
      <c r="AL54" s="1" t="s">
        <v>174</v>
      </c>
      <c r="AO54" s="1" t="s">
        <v>126</v>
      </c>
      <c r="AP54" s="1" t="s">
        <v>588</v>
      </c>
      <c r="AQ54" s="1">
        <v>19.2</v>
      </c>
      <c r="AR54" s="1" t="s">
        <v>299</v>
      </c>
      <c r="AS54" s="1">
        <v>0</v>
      </c>
      <c r="AU54" s="1">
        <v>1000</v>
      </c>
      <c r="AX54" s="1">
        <v>1</v>
      </c>
      <c r="AY54" s="1">
        <v>2000</v>
      </c>
      <c r="AZ54" s="1" t="s">
        <v>530</v>
      </c>
      <c r="BB54" s="1" t="s">
        <v>284</v>
      </c>
      <c r="BC54" s="1" t="s">
        <v>430</v>
      </c>
      <c r="BD54" s="1" t="s">
        <v>431</v>
      </c>
      <c r="BE54" s="1">
        <v>4</v>
      </c>
      <c r="BF54" s="1">
        <v>1</v>
      </c>
      <c r="BG54" s="1">
        <v>0</v>
      </c>
      <c r="BJ54" s="1">
        <v>0</v>
      </c>
      <c r="BQ54" s="1">
        <v>0</v>
      </c>
      <c r="BR54" s="1" t="s">
        <v>78</v>
      </c>
    </row>
    <row r="55" spans="1:70" ht="238" x14ac:dyDescent="0.2">
      <c r="B55" s="1" t="s">
        <v>116</v>
      </c>
      <c r="C55" s="1">
        <v>2019</v>
      </c>
      <c r="D55" s="1" t="s">
        <v>49</v>
      </c>
      <c r="E55" s="1" t="s">
        <v>234</v>
      </c>
      <c r="F55" s="1" t="s">
        <v>369</v>
      </c>
      <c r="G55" s="1">
        <v>-4.0000000000000001E-3</v>
      </c>
      <c r="H55" s="1">
        <v>0.01</v>
      </c>
      <c r="I55" s="1" t="s">
        <v>471</v>
      </c>
      <c r="M55" s="1">
        <v>0</v>
      </c>
      <c r="N55" s="1">
        <v>0</v>
      </c>
      <c r="O55" s="1">
        <v>1</v>
      </c>
      <c r="P55" s="1" t="s">
        <v>366</v>
      </c>
      <c r="Q55" s="1">
        <v>0</v>
      </c>
      <c r="R55" s="1" t="s">
        <v>536</v>
      </c>
      <c r="S55" s="1">
        <v>1</v>
      </c>
      <c r="T55" s="1">
        <v>2</v>
      </c>
      <c r="U55" s="1">
        <v>0</v>
      </c>
      <c r="V55" s="1" t="s">
        <v>487</v>
      </c>
      <c r="AA55" s="1">
        <v>0</v>
      </c>
      <c r="AB55" s="1">
        <v>0.9</v>
      </c>
      <c r="AC55" s="1">
        <f>SQRT(AB55*(1-AB55))</f>
        <v>0.3</v>
      </c>
      <c r="AD55" s="1" t="s">
        <v>472</v>
      </c>
      <c r="AE55" s="1">
        <v>12622</v>
      </c>
      <c r="AF55" s="1">
        <v>2011</v>
      </c>
      <c r="AG55" s="1" t="s">
        <v>79</v>
      </c>
      <c r="AH55" s="1">
        <v>0</v>
      </c>
      <c r="AI55" s="1">
        <v>2011</v>
      </c>
      <c r="AJ55" s="5" t="s">
        <v>391</v>
      </c>
      <c r="AK55" s="1" t="s">
        <v>24</v>
      </c>
      <c r="AL55" s="1" t="s">
        <v>174</v>
      </c>
      <c r="AO55" s="1" t="s">
        <v>126</v>
      </c>
      <c r="AP55" s="1" t="s">
        <v>588</v>
      </c>
      <c r="AQ55" s="1">
        <v>19.2</v>
      </c>
      <c r="AR55" s="1" t="s">
        <v>299</v>
      </c>
      <c r="AS55" s="1">
        <v>0</v>
      </c>
      <c r="AU55" s="1">
        <v>1000</v>
      </c>
      <c r="AX55" s="1">
        <v>1</v>
      </c>
      <c r="AY55" s="1">
        <v>2000</v>
      </c>
      <c r="AZ55" s="1" t="s">
        <v>530</v>
      </c>
      <c r="BB55" s="1" t="s">
        <v>284</v>
      </c>
      <c r="BE55" s="1">
        <v>9</v>
      </c>
      <c r="BF55" s="1">
        <v>0</v>
      </c>
      <c r="BG55" s="1">
        <v>0</v>
      </c>
      <c r="BJ55" s="1">
        <v>0</v>
      </c>
      <c r="BQ55" s="1">
        <v>1</v>
      </c>
      <c r="BR55" s="1" t="s">
        <v>78</v>
      </c>
    </row>
    <row r="56" spans="1:70" ht="238" x14ac:dyDescent="0.2">
      <c r="B56" s="1" t="s">
        <v>116</v>
      </c>
      <c r="C56" s="1">
        <v>2019</v>
      </c>
      <c r="D56" s="1" t="s">
        <v>49</v>
      </c>
      <c r="E56" s="1" t="s">
        <v>234</v>
      </c>
      <c r="F56" s="1" t="s">
        <v>369</v>
      </c>
      <c r="G56" s="1">
        <v>4.2999999999999997E-2</v>
      </c>
      <c r="H56" s="1">
        <v>7.0000000000000001E-3</v>
      </c>
      <c r="I56" s="1" t="s">
        <v>236</v>
      </c>
      <c r="M56" s="1">
        <v>0</v>
      </c>
      <c r="N56" s="1">
        <v>1</v>
      </c>
      <c r="O56" s="1">
        <v>0</v>
      </c>
      <c r="P56" s="1" t="s">
        <v>366</v>
      </c>
      <c r="Q56" s="1">
        <v>0</v>
      </c>
      <c r="R56" s="1" t="s">
        <v>536</v>
      </c>
      <c r="S56" s="1">
        <v>1</v>
      </c>
      <c r="T56" s="1">
        <v>2</v>
      </c>
      <c r="U56" s="1">
        <v>0</v>
      </c>
      <c r="V56" s="1" t="s">
        <v>487</v>
      </c>
      <c r="AA56" s="1">
        <v>0</v>
      </c>
      <c r="AB56" s="1">
        <v>0.9</v>
      </c>
      <c r="AC56" s="1">
        <f>SQRT(AB56*(1-AB56))</f>
        <v>0.3</v>
      </c>
      <c r="AD56" s="1" t="s">
        <v>237</v>
      </c>
      <c r="AE56" s="1">
        <v>12622</v>
      </c>
      <c r="AF56" s="1">
        <v>2011</v>
      </c>
      <c r="AG56" s="1" t="s">
        <v>79</v>
      </c>
      <c r="AH56" s="1">
        <v>0</v>
      </c>
      <c r="AI56" s="1">
        <v>2011</v>
      </c>
      <c r="AJ56" s="5" t="s">
        <v>391</v>
      </c>
      <c r="AK56" s="1" t="s">
        <v>24</v>
      </c>
      <c r="AL56" s="1" t="s">
        <v>174</v>
      </c>
      <c r="AO56" s="1" t="s">
        <v>126</v>
      </c>
      <c r="AP56" s="1" t="s">
        <v>588</v>
      </c>
      <c r="AQ56" s="1">
        <v>19.2</v>
      </c>
      <c r="AR56" s="1" t="s">
        <v>299</v>
      </c>
      <c r="AS56" s="1">
        <v>0</v>
      </c>
      <c r="AU56" s="1">
        <v>1000</v>
      </c>
      <c r="AX56" s="1">
        <v>1</v>
      </c>
      <c r="AY56" s="1">
        <v>2000</v>
      </c>
      <c r="AZ56" s="1" t="s">
        <v>530</v>
      </c>
      <c r="BB56" s="1" t="s">
        <v>284</v>
      </c>
      <c r="BE56" s="1">
        <v>9</v>
      </c>
      <c r="BF56" s="1">
        <v>0</v>
      </c>
      <c r="BG56" s="1">
        <v>0</v>
      </c>
      <c r="BJ56" s="1">
        <v>0</v>
      </c>
      <c r="BQ56" s="1">
        <v>1</v>
      </c>
      <c r="BR56" s="1" t="s">
        <v>78</v>
      </c>
    </row>
    <row r="57" spans="1:70" ht="238" x14ac:dyDescent="0.2">
      <c r="B57" s="1" t="s">
        <v>116</v>
      </c>
      <c r="C57" s="1">
        <v>2019</v>
      </c>
      <c r="D57" s="1" t="s">
        <v>49</v>
      </c>
      <c r="E57" s="1" t="s">
        <v>234</v>
      </c>
      <c r="F57" s="1" t="s">
        <v>369</v>
      </c>
      <c r="G57" s="1">
        <v>2.1000000000000001E-2</v>
      </c>
      <c r="H57" s="1">
        <v>1.0999999999999999E-2</v>
      </c>
      <c r="I57" s="1" t="s">
        <v>235</v>
      </c>
      <c r="M57" s="1">
        <v>1</v>
      </c>
      <c r="N57" s="1">
        <v>0</v>
      </c>
      <c r="O57" s="1">
        <v>0</v>
      </c>
      <c r="P57" s="1" t="s">
        <v>366</v>
      </c>
      <c r="Q57" s="1">
        <v>0</v>
      </c>
      <c r="R57" s="1" t="s">
        <v>536</v>
      </c>
      <c r="S57" s="1">
        <v>1</v>
      </c>
      <c r="T57" s="1">
        <v>2</v>
      </c>
      <c r="U57" s="1">
        <v>0</v>
      </c>
      <c r="V57" s="1" t="s">
        <v>487</v>
      </c>
      <c r="AA57" s="1">
        <v>0</v>
      </c>
      <c r="AB57" s="1">
        <v>0.9</v>
      </c>
      <c r="AC57" s="1">
        <f>SQRT(AB57*(1-AB57))</f>
        <v>0.3</v>
      </c>
      <c r="AD57" s="1" t="s">
        <v>237</v>
      </c>
      <c r="AE57" s="1">
        <v>12622</v>
      </c>
      <c r="AF57" s="1">
        <v>2011</v>
      </c>
      <c r="AG57" s="1" t="s">
        <v>79</v>
      </c>
      <c r="AH57" s="1">
        <v>0</v>
      </c>
      <c r="AI57" s="1">
        <v>2011</v>
      </c>
      <c r="AJ57" s="5" t="s">
        <v>391</v>
      </c>
      <c r="AK57" s="1" t="s">
        <v>24</v>
      </c>
      <c r="AL57" s="1" t="s">
        <v>174</v>
      </c>
      <c r="AO57" s="1" t="s">
        <v>126</v>
      </c>
      <c r="AP57" s="1" t="s">
        <v>588</v>
      </c>
      <c r="AQ57" s="1">
        <v>19.2</v>
      </c>
      <c r="AR57" s="1" t="s">
        <v>299</v>
      </c>
      <c r="AS57" s="1">
        <v>0</v>
      </c>
      <c r="AU57" s="1">
        <v>1000</v>
      </c>
      <c r="AX57" s="1">
        <v>1</v>
      </c>
      <c r="AY57" s="1">
        <v>2000</v>
      </c>
      <c r="AZ57" s="1" t="s">
        <v>530</v>
      </c>
      <c r="BB57" s="1" t="s">
        <v>284</v>
      </c>
      <c r="BC57" s="1" t="s">
        <v>430</v>
      </c>
      <c r="BD57" s="1" t="s">
        <v>593</v>
      </c>
      <c r="BE57" s="1">
        <v>9</v>
      </c>
      <c r="BF57" s="1">
        <v>0</v>
      </c>
      <c r="BG57" s="1">
        <v>0</v>
      </c>
      <c r="BJ57" s="1">
        <v>0</v>
      </c>
      <c r="BQ57" s="1">
        <v>1</v>
      </c>
      <c r="BR57" s="1" t="s">
        <v>78</v>
      </c>
    </row>
    <row r="58" spans="1:70" ht="238" x14ac:dyDescent="0.2">
      <c r="A58" s="1" t="s">
        <v>603</v>
      </c>
      <c r="B58" s="1" t="s">
        <v>189</v>
      </c>
      <c r="C58" s="1">
        <v>2018</v>
      </c>
      <c r="D58" s="1" t="s">
        <v>72</v>
      </c>
      <c r="E58" s="1" t="s">
        <v>29</v>
      </c>
      <c r="F58" s="1" t="s">
        <v>351</v>
      </c>
      <c r="G58" s="1">
        <f>4*-0.001</f>
        <v>-4.0000000000000001E-3</v>
      </c>
      <c r="H58" s="1">
        <f>4*0.003</f>
        <v>1.2E-2</v>
      </c>
      <c r="I58" s="1" t="s">
        <v>125</v>
      </c>
      <c r="M58" s="1">
        <v>0</v>
      </c>
      <c r="N58" s="1">
        <v>0</v>
      </c>
      <c r="O58" s="1">
        <v>1</v>
      </c>
      <c r="P58" s="1" t="s">
        <v>73</v>
      </c>
      <c r="Q58" s="1">
        <v>1</v>
      </c>
      <c r="R58" s="1" t="s">
        <v>199</v>
      </c>
      <c r="S58" s="1">
        <v>0</v>
      </c>
      <c r="T58" s="1">
        <v>0</v>
      </c>
      <c r="U58" s="1">
        <v>1</v>
      </c>
      <c r="AA58" s="1">
        <v>1</v>
      </c>
      <c r="AB58" s="1">
        <v>0.58840000000000003</v>
      </c>
      <c r="AD58" s="1" t="s">
        <v>470</v>
      </c>
      <c r="AE58" s="1">
        <v>12116</v>
      </c>
      <c r="AF58" s="1">
        <v>2013</v>
      </c>
      <c r="AG58" s="1" t="s">
        <v>468</v>
      </c>
      <c r="AH58" s="1">
        <v>0</v>
      </c>
      <c r="AI58" s="1">
        <v>2013</v>
      </c>
      <c r="AJ58" s="5" t="s">
        <v>398</v>
      </c>
      <c r="AK58" s="1" t="s">
        <v>29</v>
      </c>
      <c r="AL58" s="1" t="s">
        <v>175</v>
      </c>
      <c r="AO58" s="1" t="s">
        <v>126</v>
      </c>
      <c r="AP58" s="1" t="s">
        <v>587</v>
      </c>
      <c r="AQ58" s="1">
        <f>(1377/367)^2</f>
        <v>14.077831151764435</v>
      </c>
      <c r="AR58" s="1" t="s">
        <v>51</v>
      </c>
      <c r="AS58" s="1">
        <v>0</v>
      </c>
      <c r="AU58" s="1">
        <f>1377-753</f>
        <v>624</v>
      </c>
      <c r="AV58" s="1">
        <f>SQRT(0.25*(367^2 + 290^2))</f>
        <v>233.87443212117051</v>
      </c>
      <c r="AX58" s="1">
        <v>0</v>
      </c>
      <c r="BB58" s="1" t="s">
        <v>469</v>
      </c>
      <c r="BE58" s="1">
        <v>4</v>
      </c>
      <c r="BF58" s="1">
        <v>0</v>
      </c>
      <c r="BG58" s="1">
        <v>0</v>
      </c>
      <c r="BJ58" s="1">
        <v>1</v>
      </c>
      <c r="BQ58" s="1">
        <v>1</v>
      </c>
    </row>
    <row r="59" spans="1:70" ht="238" x14ac:dyDescent="0.2">
      <c r="A59" s="1" t="s">
        <v>603</v>
      </c>
      <c r="B59" s="1" t="s">
        <v>189</v>
      </c>
      <c r="C59" s="1">
        <v>2018</v>
      </c>
      <c r="D59" s="1" t="s">
        <v>72</v>
      </c>
      <c r="E59" s="1" t="s">
        <v>29</v>
      </c>
      <c r="F59" s="1" t="s">
        <v>351</v>
      </c>
      <c r="G59" s="1">
        <f>4*0.007</f>
        <v>2.8000000000000001E-2</v>
      </c>
      <c r="H59" s="1">
        <f>4*0.003</f>
        <v>1.2E-2</v>
      </c>
      <c r="I59" s="1" t="s">
        <v>77</v>
      </c>
      <c r="M59" s="1">
        <v>0</v>
      </c>
      <c r="N59" s="1">
        <v>1</v>
      </c>
      <c r="O59" s="1">
        <v>0</v>
      </c>
      <c r="P59" s="1" t="s">
        <v>73</v>
      </c>
      <c r="Q59" s="1">
        <v>1</v>
      </c>
      <c r="R59" s="1" t="s">
        <v>199</v>
      </c>
      <c r="S59" s="1">
        <v>0</v>
      </c>
      <c r="T59" s="1">
        <v>0</v>
      </c>
      <c r="U59" s="1">
        <v>1</v>
      </c>
      <c r="AA59" s="1">
        <v>1</v>
      </c>
      <c r="AB59" s="1">
        <v>2.9250000000000002E-2</v>
      </c>
      <c r="AD59" s="1" t="s">
        <v>74</v>
      </c>
      <c r="AE59" s="1">
        <v>10837</v>
      </c>
      <c r="AF59" s="1">
        <v>2013</v>
      </c>
      <c r="AG59" s="1" t="s">
        <v>75</v>
      </c>
      <c r="AH59" s="1">
        <v>0</v>
      </c>
      <c r="AI59" s="1">
        <v>2013</v>
      </c>
      <c r="AJ59" s="5" t="s">
        <v>398</v>
      </c>
      <c r="AK59" s="1" t="s">
        <v>29</v>
      </c>
      <c r="AL59" s="1" t="s">
        <v>175</v>
      </c>
      <c r="AO59" s="1" t="s">
        <v>126</v>
      </c>
      <c r="AP59" s="1" t="s">
        <v>587</v>
      </c>
      <c r="AQ59" s="1">
        <f>(1377/367)^2</f>
        <v>14.077831151764435</v>
      </c>
      <c r="AR59" s="1" t="s">
        <v>51</v>
      </c>
      <c r="AS59" s="1">
        <v>0</v>
      </c>
      <c r="AU59" s="1">
        <v>1377</v>
      </c>
      <c r="AV59" s="1">
        <v>367</v>
      </c>
      <c r="AX59" s="1">
        <v>0</v>
      </c>
      <c r="BB59" s="1" t="s">
        <v>76</v>
      </c>
      <c r="BE59" s="1">
        <v>4</v>
      </c>
      <c r="BF59" s="1">
        <v>0</v>
      </c>
      <c r="BG59" s="1">
        <v>0</v>
      </c>
      <c r="BJ59" s="1">
        <v>1</v>
      </c>
      <c r="BQ59" s="1">
        <v>1</v>
      </c>
    </row>
    <row r="60" spans="1:70" ht="238" x14ac:dyDescent="0.2">
      <c r="A60" s="1" t="s">
        <v>603</v>
      </c>
      <c r="B60" s="1" t="s">
        <v>189</v>
      </c>
      <c r="C60" s="1">
        <v>2018</v>
      </c>
      <c r="D60" s="1" t="s">
        <v>72</v>
      </c>
      <c r="E60" s="1" t="s">
        <v>29</v>
      </c>
      <c r="F60" s="1" t="s">
        <v>351</v>
      </c>
      <c r="G60" s="1">
        <f>4*0.004</f>
        <v>1.6E-2</v>
      </c>
      <c r="H60" s="1">
        <f>4*0.003</f>
        <v>1.2E-2</v>
      </c>
      <c r="I60" s="1" t="s">
        <v>463</v>
      </c>
      <c r="M60" s="1">
        <v>1</v>
      </c>
      <c r="N60" s="1">
        <v>0</v>
      </c>
      <c r="O60" s="1">
        <v>0</v>
      </c>
      <c r="P60" s="1" t="s">
        <v>73</v>
      </c>
      <c r="Q60" s="1">
        <v>1</v>
      </c>
      <c r="R60" s="1" t="s">
        <v>199</v>
      </c>
      <c r="S60" s="1">
        <v>0</v>
      </c>
      <c r="T60" s="1">
        <v>0</v>
      </c>
      <c r="U60" s="1">
        <v>1</v>
      </c>
      <c r="AA60" s="1">
        <v>1</v>
      </c>
      <c r="AB60" s="1">
        <v>0.25590000000000002</v>
      </c>
      <c r="AD60" s="1" t="s">
        <v>162</v>
      </c>
      <c r="AE60" s="1">
        <v>11264</v>
      </c>
      <c r="AF60" s="1">
        <v>2013</v>
      </c>
      <c r="AG60" s="1" t="s">
        <v>163</v>
      </c>
      <c r="AH60" s="1">
        <v>0</v>
      </c>
      <c r="AI60" s="1">
        <v>2013</v>
      </c>
      <c r="AJ60" s="5" t="s">
        <v>398</v>
      </c>
      <c r="AK60" s="1" t="s">
        <v>29</v>
      </c>
      <c r="AL60" s="1" t="s">
        <v>175</v>
      </c>
      <c r="AO60" s="1" t="s">
        <v>126</v>
      </c>
      <c r="AP60" s="1" t="s">
        <v>587</v>
      </c>
      <c r="AQ60" s="1">
        <f>(1377/367)^2</f>
        <v>14.077831151764435</v>
      </c>
      <c r="AR60" s="1" t="s">
        <v>51</v>
      </c>
      <c r="AS60" s="1">
        <v>0</v>
      </c>
      <c r="AU60" s="1">
        <v>907</v>
      </c>
      <c r="AV60" s="1">
        <v>290</v>
      </c>
      <c r="AX60" s="1">
        <v>0</v>
      </c>
      <c r="BB60" s="1" t="s">
        <v>164</v>
      </c>
      <c r="BC60" s="1" t="s">
        <v>432</v>
      </c>
      <c r="BD60" s="1" t="s">
        <v>464</v>
      </c>
      <c r="BE60" s="1">
        <v>4</v>
      </c>
      <c r="BF60" s="1">
        <v>0</v>
      </c>
      <c r="BG60" s="1">
        <v>0</v>
      </c>
      <c r="BJ60" s="1">
        <v>1</v>
      </c>
      <c r="BQ60" s="1">
        <v>1</v>
      </c>
    </row>
    <row r="61" spans="1:70" ht="187" x14ac:dyDescent="0.2">
      <c r="A61" s="1" t="s">
        <v>603</v>
      </c>
      <c r="B61" s="1" t="s">
        <v>189</v>
      </c>
      <c r="C61" s="1">
        <v>2022</v>
      </c>
      <c r="D61" s="1" t="s">
        <v>605</v>
      </c>
      <c r="E61" s="1" t="s">
        <v>112</v>
      </c>
      <c r="F61" s="1" t="s">
        <v>351</v>
      </c>
      <c r="G61" s="1">
        <v>0.17399999999999999</v>
      </c>
      <c r="H61" s="1">
        <v>7.7086000000000002E-2</v>
      </c>
      <c r="I61" s="1" t="s">
        <v>380</v>
      </c>
      <c r="M61" s="1">
        <v>1</v>
      </c>
      <c r="N61" s="1">
        <v>0</v>
      </c>
      <c r="O61" s="1">
        <v>0</v>
      </c>
      <c r="P61" s="1" t="s">
        <v>606</v>
      </c>
      <c r="Q61" s="1">
        <v>0</v>
      </c>
      <c r="R61" s="1" t="s">
        <v>541</v>
      </c>
      <c r="S61" s="1">
        <v>4</v>
      </c>
      <c r="T61" s="1">
        <v>1</v>
      </c>
      <c r="U61" s="1">
        <v>0</v>
      </c>
      <c r="W61" s="1">
        <v>7.0691199999999996E-2</v>
      </c>
      <c r="X61" s="1">
        <v>8.2989499999999994E-2</v>
      </c>
      <c r="AA61" s="1">
        <v>1</v>
      </c>
      <c r="AE61" s="1">
        <v>6023.8059999999996</v>
      </c>
      <c r="AF61" s="1">
        <v>1997</v>
      </c>
      <c r="AG61" s="1" t="s">
        <v>457</v>
      </c>
      <c r="AH61" s="1">
        <v>1</v>
      </c>
      <c r="AI61" s="1">
        <v>2018</v>
      </c>
      <c r="AK61" s="1" t="s">
        <v>112</v>
      </c>
      <c r="AM61" s="1" t="s">
        <v>607</v>
      </c>
      <c r="AN61" s="1">
        <v>50</v>
      </c>
      <c r="AO61" s="1" t="s">
        <v>59</v>
      </c>
      <c r="AP61" s="1" t="s">
        <v>587</v>
      </c>
      <c r="AQ61" s="1">
        <v>21</v>
      </c>
      <c r="AR61" s="1" t="s">
        <v>291</v>
      </c>
      <c r="AS61" s="1">
        <v>1</v>
      </c>
      <c r="AT61" s="1">
        <v>3451.2310000000002</v>
      </c>
      <c r="AU61" s="1">
        <v>746.92499999999995</v>
      </c>
      <c r="AW61" s="1">
        <v>1627.241</v>
      </c>
      <c r="AX61" s="1">
        <v>0</v>
      </c>
      <c r="BB61" s="1" t="s">
        <v>608</v>
      </c>
      <c r="BC61" s="1" t="s">
        <v>596</v>
      </c>
      <c r="BD61" s="1" t="s">
        <v>511</v>
      </c>
      <c r="BE61" s="1">
        <v>4</v>
      </c>
      <c r="BF61" s="1">
        <v>0</v>
      </c>
      <c r="BG61" s="1">
        <v>0</v>
      </c>
      <c r="BH61" s="1">
        <v>4109.0129999999999</v>
      </c>
      <c r="BI61" s="1">
        <v>3451.2310000000002</v>
      </c>
      <c r="BJ61" s="1">
        <v>0</v>
      </c>
      <c r="BQ61" s="1">
        <v>1</v>
      </c>
      <c r="BR61" s="1" t="s">
        <v>113</v>
      </c>
    </row>
    <row r="62" spans="1:70" ht="170" x14ac:dyDescent="0.2">
      <c r="B62" s="1" t="s">
        <v>209</v>
      </c>
      <c r="C62" s="1">
        <v>2018</v>
      </c>
      <c r="D62" s="1" t="s">
        <v>368</v>
      </c>
      <c r="E62" s="1" t="s">
        <v>198</v>
      </c>
      <c r="F62" s="1" t="s">
        <v>365</v>
      </c>
      <c r="G62" s="1">
        <v>-0.1837</v>
      </c>
      <c r="H62" s="1">
        <v>4.0500000000000001E-2</v>
      </c>
      <c r="I62" s="1" t="s">
        <v>238</v>
      </c>
      <c r="M62" s="1">
        <v>1</v>
      </c>
      <c r="N62" s="1">
        <v>0</v>
      </c>
      <c r="O62" s="1">
        <v>0</v>
      </c>
      <c r="P62" s="1" t="s">
        <v>367</v>
      </c>
      <c r="Q62" s="1">
        <v>0</v>
      </c>
      <c r="R62" s="1" t="s">
        <v>538</v>
      </c>
      <c r="S62" s="1">
        <v>3</v>
      </c>
      <c r="T62" s="1">
        <v>0</v>
      </c>
      <c r="U62" s="1">
        <v>0</v>
      </c>
      <c r="V62" s="1" t="s">
        <v>488</v>
      </c>
      <c r="AA62" s="1">
        <v>0</v>
      </c>
      <c r="AB62" s="1">
        <v>3.056</v>
      </c>
      <c r="AC62" s="1">
        <f>100*(SQRT((AB62/100)*(1-(AB62/100))))</f>
        <v>17.2122300705051</v>
      </c>
      <c r="AD62" s="1" t="s">
        <v>239</v>
      </c>
      <c r="AE62" s="1">
        <v>16673.32</v>
      </c>
      <c r="AF62" s="1">
        <v>2004</v>
      </c>
      <c r="AG62" s="1" t="s">
        <v>457</v>
      </c>
      <c r="AH62" s="1">
        <v>1</v>
      </c>
      <c r="AI62" s="1">
        <v>2018</v>
      </c>
      <c r="AK62" s="1" t="s">
        <v>198</v>
      </c>
      <c r="AO62" s="1" t="s">
        <v>126</v>
      </c>
      <c r="AP62" s="1" t="s">
        <v>23</v>
      </c>
      <c r="AQ62" s="1">
        <v>10.92</v>
      </c>
      <c r="AR62" s="1" t="s">
        <v>64</v>
      </c>
      <c r="AS62" s="1">
        <v>0</v>
      </c>
      <c r="AU62" s="1">
        <f>0.01*AE62</f>
        <v>166.73320000000001</v>
      </c>
      <c r="AX62" s="1">
        <v>0</v>
      </c>
      <c r="BB62" s="1" t="s">
        <v>211</v>
      </c>
      <c r="BC62" s="1" t="s">
        <v>435</v>
      </c>
      <c r="BD62" s="8" t="s">
        <v>433</v>
      </c>
      <c r="BE62" s="1">
        <v>4</v>
      </c>
      <c r="BF62" s="1">
        <v>0</v>
      </c>
      <c r="BG62" s="1">
        <v>1</v>
      </c>
      <c r="BH62" s="8"/>
      <c r="BI62" s="8"/>
      <c r="BJ62" s="1">
        <v>0</v>
      </c>
      <c r="BQ62" s="1">
        <v>1</v>
      </c>
      <c r="BR62" s="1" t="s">
        <v>210</v>
      </c>
    </row>
    <row r="63" spans="1:70" ht="255" x14ac:dyDescent="0.2">
      <c r="A63" s="1" t="s">
        <v>603</v>
      </c>
      <c r="B63" s="1" t="s">
        <v>116</v>
      </c>
      <c r="C63" s="1">
        <v>2016</v>
      </c>
      <c r="D63" s="1" t="s">
        <v>114</v>
      </c>
      <c r="E63" s="1" t="s">
        <v>115</v>
      </c>
      <c r="F63" s="1" t="s">
        <v>351</v>
      </c>
      <c r="G63" s="1">
        <v>2.3E-2</v>
      </c>
      <c r="H63" s="1">
        <v>2.0426699999999999E-2</v>
      </c>
      <c r="I63" s="1" t="s">
        <v>167</v>
      </c>
      <c r="M63" s="1">
        <v>1</v>
      </c>
      <c r="N63" s="1">
        <v>0</v>
      </c>
      <c r="O63" s="1">
        <v>0</v>
      </c>
      <c r="P63" s="1" t="s">
        <v>118</v>
      </c>
      <c r="Q63" s="1">
        <v>0</v>
      </c>
      <c r="R63" s="1" t="s">
        <v>541</v>
      </c>
      <c r="S63" s="1">
        <v>1</v>
      </c>
      <c r="T63" s="1">
        <v>0</v>
      </c>
      <c r="U63" s="1">
        <v>0</v>
      </c>
      <c r="V63" s="1" t="s">
        <v>489</v>
      </c>
      <c r="W63" s="1">
        <v>1.8701599999999999E-2</v>
      </c>
      <c r="X63" s="1">
        <v>2.2016999999999998E-2</v>
      </c>
      <c r="AA63" s="1">
        <v>1</v>
      </c>
      <c r="AB63" s="1">
        <f>AVERAGE(0.027,0.023)</f>
        <v>2.5000000000000001E-2</v>
      </c>
      <c r="AD63" s="1" t="s">
        <v>64</v>
      </c>
      <c r="AE63" s="1">
        <f>5182+1354</f>
        <v>6536</v>
      </c>
      <c r="AF63" s="1">
        <v>2010</v>
      </c>
      <c r="AG63" s="1" t="s">
        <v>458</v>
      </c>
      <c r="AH63" s="1">
        <v>0</v>
      </c>
      <c r="AI63" s="1">
        <v>2018</v>
      </c>
      <c r="AK63" s="1" t="s">
        <v>115</v>
      </c>
      <c r="AL63" s="1" t="s">
        <v>178</v>
      </c>
      <c r="AM63" s="1" t="s">
        <v>387</v>
      </c>
      <c r="AN63" s="1">
        <v>15</v>
      </c>
      <c r="AO63" s="1" t="s">
        <v>59</v>
      </c>
      <c r="AP63" s="1" t="s">
        <v>23</v>
      </c>
      <c r="AQ63" s="1">
        <f>(2330/298)^2</f>
        <v>61.133507499662173</v>
      </c>
      <c r="AR63" s="1" t="s">
        <v>46</v>
      </c>
      <c r="AS63" s="1">
        <v>0</v>
      </c>
      <c r="AT63" s="1">
        <v>904.95540000000005</v>
      </c>
      <c r="AU63" s="1">
        <v>756.61303999999996</v>
      </c>
      <c r="AW63" s="1">
        <v>641.78880000000004</v>
      </c>
      <c r="AX63" s="1">
        <v>0</v>
      </c>
      <c r="BB63" s="1" t="s">
        <v>119</v>
      </c>
      <c r="BC63" s="1" t="s">
        <v>525</v>
      </c>
      <c r="BD63" s="1" t="s">
        <v>434</v>
      </c>
      <c r="BE63" s="1">
        <v>4</v>
      </c>
      <c r="BF63" s="1">
        <v>0</v>
      </c>
      <c r="BG63" s="1">
        <v>0</v>
      </c>
      <c r="BH63" s="1">
        <v>953.16279999999995</v>
      </c>
      <c r="BI63" s="1">
        <v>570.34500000000003</v>
      </c>
      <c r="BJ63" s="1">
        <v>0</v>
      </c>
      <c r="BQ63" s="1">
        <v>1</v>
      </c>
      <c r="BR63" s="1" t="s">
        <v>117</v>
      </c>
    </row>
    <row r="64" spans="1:70" ht="221" x14ac:dyDescent="0.2">
      <c r="B64" s="1" t="s">
        <v>36</v>
      </c>
      <c r="C64" s="1">
        <v>2012</v>
      </c>
      <c r="D64" s="1" t="s">
        <v>66</v>
      </c>
      <c r="E64" s="1" t="s">
        <v>25</v>
      </c>
      <c r="F64" s="1" t="s">
        <v>351</v>
      </c>
      <c r="G64" s="1">
        <v>1E-3</v>
      </c>
      <c r="H64" s="1">
        <v>6.0999999999999999E-2</v>
      </c>
      <c r="I64" s="1" t="s">
        <v>70</v>
      </c>
      <c r="J64" s="1">
        <v>-8.9999999999999993E-3</v>
      </c>
      <c r="K64" s="1">
        <v>6.3E-2</v>
      </c>
      <c r="L64" s="1" t="s">
        <v>71</v>
      </c>
      <c r="M64" s="1">
        <v>1</v>
      </c>
      <c r="N64" s="1">
        <v>0</v>
      </c>
      <c r="O64" s="1">
        <v>0</v>
      </c>
      <c r="P64" s="1" t="s">
        <v>356</v>
      </c>
      <c r="Q64" s="1">
        <v>0</v>
      </c>
      <c r="R64" s="1" t="s">
        <v>543</v>
      </c>
      <c r="S64" s="1">
        <v>3</v>
      </c>
      <c r="T64" s="1">
        <v>1</v>
      </c>
      <c r="U64" s="1">
        <v>0</v>
      </c>
      <c r="AA64" s="1">
        <v>1</v>
      </c>
      <c r="AB64" s="1">
        <v>1.4E-2</v>
      </c>
      <c r="AC64" s="1">
        <v>1.7999999999999999E-2</v>
      </c>
      <c r="AD64" s="1" t="s">
        <v>69</v>
      </c>
      <c r="AE64" s="1">
        <f>645.14+10237+273.4</f>
        <v>11155.539999999999</v>
      </c>
      <c r="AF64" s="1">
        <v>2002</v>
      </c>
      <c r="AG64" s="1" t="s">
        <v>459</v>
      </c>
      <c r="AH64" s="1">
        <v>0</v>
      </c>
      <c r="AI64" s="1">
        <v>2002</v>
      </c>
      <c r="AK64" s="1" t="s">
        <v>25</v>
      </c>
      <c r="AL64" s="1" t="s">
        <v>176</v>
      </c>
      <c r="AO64" s="1" t="s">
        <v>54</v>
      </c>
      <c r="AP64" s="1" t="s">
        <v>23</v>
      </c>
      <c r="AQ64" s="1">
        <f>(124.448/305.756)^2</f>
        <v>0.16566313154328352</v>
      </c>
      <c r="AR64" s="1" t="s">
        <v>298</v>
      </c>
      <c r="AS64" s="1">
        <v>0</v>
      </c>
      <c r="AU64" s="1">
        <f>-124.448</f>
        <v>-124.44799999999999</v>
      </c>
      <c r="AV64" s="1">
        <v>305.75599999999997</v>
      </c>
      <c r="AX64" s="1">
        <v>0</v>
      </c>
      <c r="BB64" s="1" t="s">
        <v>68</v>
      </c>
      <c r="BE64" s="1">
        <v>4</v>
      </c>
      <c r="BF64" s="1">
        <v>1</v>
      </c>
      <c r="BG64" s="1">
        <v>0</v>
      </c>
      <c r="BJ64" s="1">
        <v>0</v>
      </c>
      <c r="BQ64" s="1">
        <v>0</v>
      </c>
      <c r="BR64" s="1" t="s">
        <v>67</v>
      </c>
    </row>
    <row r="65" spans="1:70" ht="356" x14ac:dyDescent="0.2">
      <c r="A65" s="1" t="s">
        <v>603</v>
      </c>
      <c r="B65" s="1" t="s">
        <v>63</v>
      </c>
      <c r="C65" s="1">
        <v>2018</v>
      </c>
      <c r="D65" s="1" t="s">
        <v>61</v>
      </c>
      <c r="E65" s="1" t="s">
        <v>240</v>
      </c>
      <c r="F65" s="1" t="s">
        <v>351</v>
      </c>
      <c r="G65" s="1">
        <v>8.2699999999999996E-2</v>
      </c>
      <c r="H65" s="1">
        <v>2.781240730321631E-2</v>
      </c>
      <c r="I65" s="1" t="s">
        <v>168</v>
      </c>
      <c r="J65" s="1">
        <v>6.88E-2</v>
      </c>
      <c r="K65" s="1">
        <v>2.952147523414099E-2</v>
      </c>
      <c r="L65" s="1" t="s">
        <v>169</v>
      </c>
      <c r="M65" s="1">
        <v>1</v>
      </c>
      <c r="N65" s="1">
        <v>0</v>
      </c>
      <c r="O65" s="1">
        <v>0</v>
      </c>
      <c r="P65" s="1" t="s">
        <v>357</v>
      </c>
      <c r="Q65" s="1">
        <v>1</v>
      </c>
      <c r="R65" s="1" t="s">
        <v>539</v>
      </c>
      <c r="S65" s="1">
        <v>0</v>
      </c>
      <c r="T65" s="1">
        <v>0</v>
      </c>
      <c r="U65" s="1">
        <v>0</v>
      </c>
      <c r="W65" s="1">
        <v>2.5398622009865021E-2</v>
      </c>
      <c r="X65" s="1">
        <v>3.0032815385840867E-2</v>
      </c>
      <c r="AA65" s="1">
        <v>1</v>
      </c>
      <c r="AE65" s="1">
        <v>13719</v>
      </c>
      <c r="AF65" s="1">
        <v>2013</v>
      </c>
      <c r="AG65" s="1" t="s">
        <v>65</v>
      </c>
      <c r="AH65" s="1">
        <v>0</v>
      </c>
      <c r="AI65" s="1">
        <v>2013</v>
      </c>
      <c r="AK65" s="1" t="s">
        <v>26</v>
      </c>
      <c r="AL65" s="1" t="s">
        <v>358</v>
      </c>
      <c r="AO65" s="1" t="s">
        <v>126</v>
      </c>
      <c r="AP65" s="1" t="s">
        <v>588</v>
      </c>
      <c r="AQ65" s="1">
        <v>92.76</v>
      </c>
      <c r="AR65" s="1" t="s">
        <v>46</v>
      </c>
      <c r="AS65" s="1">
        <v>0</v>
      </c>
      <c r="AU65" s="1">
        <f>0.1*AE65</f>
        <v>1371.9</v>
      </c>
      <c r="AX65" s="1">
        <v>0</v>
      </c>
      <c r="BB65" s="1" t="s">
        <v>65</v>
      </c>
      <c r="BC65" s="1" t="s">
        <v>526</v>
      </c>
      <c r="BD65" s="1" t="s">
        <v>437</v>
      </c>
      <c r="BE65" s="1">
        <v>4</v>
      </c>
      <c r="BF65" s="1">
        <v>0</v>
      </c>
      <c r="BG65" s="1">
        <v>0</v>
      </c>
      <c r="BJ65" s="1">
        <v>0</v>
      </c>
      <c r="BK65" s="1">
        <f>AVERAGE(26371,29380)</f>
        <v>27875.5</v>
      </c>
      <c r="BL65" s="1">
        <v>2.706790073130903E-2</v>
      </c>
      <c r="BM65" s="1">
        <v>3.1786219498392693E-2</v>
      </c>
      <c r="BP65" s="1">
        <f>AVERAGE(24582,26457)</f>
        <v>25519.5</v>
      </c>
      <c r="BQ65" s="1">
        <v>0</v>
      </c>
      <c r="BR65" s="1" t="s">
        <v>62</v>
      </c>
    </row>
    <row r="66" spans="1:70" ht="356" x14ac:dyDescent="0.2">
      <c r="B66" s="1" t="s">
        <v>63</v>
      </c>
      <c r="C66" s="1">
        <v>2018</v>
      </c>
      <c r="D66" s="1" t="s">
        <v>61</v>
      </c>
      <c r="E66" s="1" t="s">
        <v>241</v>
      </c>
      <c r="F66" s="1" t="s">
        <v>369</v>
      </c>
      <c r="G66" s="1">
        <v>3.8399999999999997E-2</v>
      </c>
      <c r="H66" s="1">
        <v>9.7999999999999997E-3</v>
      </c>
      <c r="I66" s="1" t="s">
        <v>243</v>
      </c>
      <c r="M66" s="1">
        <v>1</v>
      </c>
      <c r="N66" s="1">
        <v>0</v>
      </c>
      <c r="O66" s="1">
        <v>0</v>
      </c>
      <c r="P66" s="1" t="s">
        <v>357</v>
      </c>
      <c r="Q66" s="1">
        <v>1</v>
      </c>
      <c r="R66" s="1" t="s">
        <v>539</v>
      </c>
      <c r="S66" s="1">
        <v>0</v>
      </c>
      <c r="T66" s="1">
        <v>0</v>
      </c>
      <c r="U66" s="1">
        <v>0</v>
      </c>
      <c r="AA66" s="1">
        <v>0</v>
      </c>
      <c r="AB66" s="1">
        <v>0.81</v>
      </c>
      <c r="AC66" s="1">
        <f>SQRT(AB66*(1-AB66))</f>
        <v>0.39230090491866054</v>
      </c>
      <c r="AD66" s="1" t="s">
        <v>242</v>
      </c>
      <c r="AE66" s="1">
        <v>13719</v>
      </c>
      <c r="AF66" s="1">
        <v>2013</v>
      </c>
      <c r="AG66" s="1" t="s">
        <v>65</v>
      </c>
      <c r="AH66" s="1">
        <v>0</v>
      </c>
      <c r="AI66" s="1">
        <v>2013</v>
      </c>
      <c r="AK66" s="1" t="s">
        <v>26</v>
      </c>
      <c r="AL66" s="1" t="s">
        <v>358</v>
      </c>
      <c r="AO66" s="1" t="s">
        <v>126</v>
      </c>
      <c r="AP66" s="1" t="s">
        <v>588</v>
      </c>
      <c r="AQ66" s="1">
        <v>92.76</v>
      </c>
      <c r="AR66" s="1" t="s">
        <v>46</v>
      </c>
      <c r="AS66" s="1">
        <v>0</v>
      </c>
      <c r="AU66" s="1">
        <f>0.1*AE66</f>
        <v>1371.9</v>
      </c>
      <c r="AX66" s="1">
        <v>0</v>
      </c>
      <c r="BB66" s="1" t="s">
        <v>65</v>
      </c>
      <c r="BC66" s="1" t="s">
        <v>436</v>
      </c>
      <c r="BD66" s="1" t="s">
        <v>438</v>
      </c>
      <c r="BE66" s="1">
        <v>4</v>
      </c>
      <c r="BF66" s="1">
        <v>0</v>
      </c>
      <c r="BG66" s="1">
        <v>0</v>
      </c>
      <c r="BJ66" s="1">
        <v>0</v>
      </c>
      <c r="BQ66" s="1">
        <v>1</v>
      </c>
      <c r="BR66" s="1" t="s">
        <v>62</v>
      </c>
    </row>
    <row r="67" spans="1:70" ht="187" x14ac:dyDescent="0.2">
      <c r="A67" s="1" t="s">
        <v>603</v>
      </c>
      <c r="B67" s="1" t="s">
        <v>116</v>
      </c>
      <c r="C67" s="1">
        <v>2014</v>
      </c>
      <c r="D67" s="1" t="s">
        <v>360</v>
      </c>
      <c r="E67" s="1" t="s">
        <v>120</v>
      </c>
      <c r="F67" s="1" t="s">
        <v>351</v>
      </c>
      <c r="G67" s="1">
        <v>7.2499999999999995E-2</v>
      </c>
      <c r="H67" s="1">
        <v>5.4596249999999999E-2</v>
      </c>
      <c r="I67" s="1" t="s">
        <v>121</v>
      </c>
      <c r="M67" s="1">
        <v>1</v>
      </c>
      <c r="N67" s="1">
        <v>0</v>
      </c>
      <c r="O67" s="1">
        <v>0</v>
      </c>
      <c r="P67" s="1" t="s">
        <v>359</v>
      </c>
      <c r="Q67" s="1">
        <v>0</v>
      </c>
      <c r="R67" s="1" t="s">
        <v>541</v>
      </c>
      <c r="S67" s="1">
        <v>3</v>
      </c>
      <c r="T67" s="1">
        <v>1</v>
      </c>
      <c r="U67" s="1">
        <v>0</v>
      </c>
      <c r="W67" s="1">
        <v>4.9866099999999997E-2</v>
      </c>
      <c r="X67" s="1">
        <v>5.8948100000000003E-2</v>
      </c>
      <c r="AA67" s="1">
        <v>1</v>
      </c>
      <c r="AB67" s="1">
        <f>AVERAGE(-0.65,-0.59)</f>
        <v>-0.62</v>
      </c>
      <c r="AE67" s="1">
        <v>15171.98</v>
      </c>
      <c r="AF67" s="1">
        <v>2018</v>
      </c>
      <c r="AG67" s="1" t="s">
        <v>460</v>
      </c>
      <c r="AH67" s="1">
        <v>1</v>
      </c>
      <c r="AI67" s="1">
        <v>2018</v>
      </c>
      <c r="AK67" s="1" t="s">
        <v>120</v>
      </c>
      <c r="AL67" s="1" t="s">
        <v>179</v>
      </c>
      <c r="AM67" s="1" t="s">
        <v>388</v>
      </c>
      <c r="AN67" s="1">
        <v>50</v>
      </c>
      <c r="AO67" s="1" t="s">
        <v>59</v>
      </c>
      <c r="AP67" s="1" t="s">
        <v>587</v>
      </c>
      <c r="AQ67" s="1">
        <v>21</v>
      </c>
      <c r="AR67" s="1" t="s">
        <v>291</v>
      </c>
      <c r="AS67" s="1">
        <v>1</v>
      </c>
      <c r="AT67" s="1">
        <v>2309.2730000000001</v>
      </c>
      <c r="AU67" s="1">
        <v>2922.0767000000001</v>
      </c>
      <c r="AW67" s="1">
        <v>1088.8130000000001</v>
      </c>
      <c r="AX67" s="1">
        <v>0</v>
      </c>
      <c r="BB67" s="1" t="s">
        <v>123</v>
      </c>
      <c r="BC67" s="1" t="s">
        <v>527</v>
      </c>
      <c r="BD67" s="1" t="s">
        <v>439</v>
      </c>
      <c r="BE67" s="1">
        <v>4</v>
      </c>
      <c r="BF67" s="1">
        <v>0</v>
      </c>
      <c r="BG67" s="1">
        <v>0</v>
      </c>
      <c r="BH67" s="1">
        <v>3225.355</v>
      </c>
      <c r="BI67" s="1">
        <v>2922.0770000000002</v>
      </c>
      <c r="BJ67" s="1">
        <v>0</v>
      </c>
      <c r="BQ67" s="1">
        <v>1</v>
      </c>
      <c r="BR67" s="1" t="s">
        <v>122</v>
      </c>
    </row>
    <row r="68" spans="1:70" ht="204" x14ac:dyDescent="0.2">
      <c r="A68" s="1" t="s">
        <v>604</v>
      </c>
      <c r="B68" s="1" t="s">
        <v>116</v>
      </c>
      <c r="C68" s="1">
        <v>2008</v>
      </c>
      <c r="D68" s="1" t="s">
        <v>144</v>
      </c>
      <c r="E68" s="1" t="s">
        <v>143</v>
      </c>
      <c r="F68" s="1" t="s">
        <v>363</v>
      </c>
      <c r="G68" s="1">
        <v>3.6769999999999997E-2</v>
      </c>
      <c r="H68" s="1">
        <v>5.4400000000000004E-3</v>
      </c>
      <c r="I68" s="1" t="s">
        <v>256</v>
      </c>
      <c r="M68" s="1">
        <v>1</v>
      </c>
      <c r="N68" s="1">
        <v>0</v>
      </c>
      <c r="O68" s="1">
        <v>0</v>
      </c>
      <c r="P68" s="1" t="s">
        <v>147</v>
      </c>
      <c r="Q68" s="1">
        <v>0</v>
      </c>
      <c r="R68" s="1" t="s">
        <v>535</v>
      </c>
      <c r="S68" s="1">
        <v>2</v>
      </c>
      <c r="T68" s="1">
        <v>0</v>
      </c>
      <c r="U68" s="1">
        <v>0</v>
      </c>
      <c r="V68" s="1" t="s">
        <v>486</v>
      </c>
      <c r="AA68" s="1">
        <v>0</v>
      </c>
      <c r="AB68" s="1">
        <f>AVERAGE(0.487,0.43,0.36)</f>
        <v>0.42566666666666669</v>
      </c>
      <c r="AC68" s="1">
        <f>SQRT(AB68*(1-AB68))</f>
        <v>0.4944436828957931</v>
      </c>
      <c r="AD68" s="1" t="s">
        <v>283</v>
      </c>
      <c r="AE68" s="1">
        <f>AVERAGE(5616,8079)</f>
        <v>6847.5</v>
      </c>
      <c r="AF68" s="1">
        <v>2004</v>
      </c>
      <c r="AG68" s="1" t="s">
        <v>257</v>
      </c>
      <c r="AH68" s="1">
        <v>0</v>
      </c>
      <c r="AI68" s="1">
        <v>2004</v>
      </c>
      <c r="AK68" s="1" t="s">
        <v>143</v>
      </c>
      <c r="AL68" s="1" t="s">
        <v>180</v>
      </c>
      <c r="AO68" s="1" t="s">
        <v>126</v>
      </c>
      <c r="AP68" s="1" t="s">
        <v>588</v>
      </c>
      <c r="AQ68" s="1">
        <v>21</v>
      </c>
      <c r="AR68" s="1" t="s">
        <v>297</v>
      </c>
      <c r="AS68" s="1">
        <v>1</v>
      </c>
      <c r="AU68" s="1">
        <f>0.1*AE68</f>
        <v>684.75</v>
      </c>
      <c r="AX68" s="1">
        <v>0</v>
      </c>
      <c r="BC68" s="1" t="s">
        <v>440</v>
      </c>
      <c r="BD68" s="1" t="s">
        <v>441</v>
      </c>
      <c r="BE68" s="1">
        <v>4</v>
      </c>
      <c r="BF68" s="1">
        <v>0</v>
      </c>
      <c r="BG68" s="1">
        <v>0</v>
      </c>
      <c r="BJ68" s="1">
        <v>0</v>
      </c>
      <c r="BQ68" s="1">
        <v>1</v>
      </c>
      <c r="BR68" s="1" t="s">
        <v>146</v>
      </c>
    </row>
    <row r="69" spans="1:70" ht="272" x14ac:dyDescent="0.2">
      <c r="A69" s="1" t="s">
        <v>603</v>
      </c>
      <c r="B69" s="1" t="s">
        <v>273</v>
      </c>
      <c r="C69" s="1">
        <v>2020</v>
      </c>
      <c r="D69" s="1" t="s">
        <v>50</v>
      </c>
      <c r="E69" s="1" t="s">
        <v>575</v>
      </c>
      <c r="F69" s="1" t="s">
        <v>351</v>
      </c>
      <c r="G69" s="1">
        <v>3.6139100000000001E-3</v>
      </c>
      <c r="H69" s="1">
        <v>3.8127299999999999E-3</v>
      </c>
      <c r="I69" s="1" t="s">
        <v>52</v>
      </c>
      <c r="M69" s="1">
        <v>0</v>
      </c>
      <c r="N69" s="1">
        <v>0</v>
      </c>
      <c r="O69" s="1">
        <v>1</v>
      </c>
      <c r="P69" s="1" t="s">
        <v>274</v>
      </c>
      <c r="Q69" s="1">
        <v>0</v>
      </c>
      <c r="R69" s="1" t="s">
        <v>541</v>
      </c>
      <c r="S69" s="1">
        <v>4</v>
      </c>
      <c r="T69" s="1">
        <v>0</v>
      </c>
      <c r="U69" s="1">
        <v>1</v>
      </c>
      <c r="AA69" s="1">
        <v>1</v>
      </c>
      <c r="AD69" s="1" t="s">
        <v>60</v>
      </c>
      <c r="AE69" s="1">
        <v>11980</v>
      </c>
      <c r="AF69" s="1">
        <v>2014</v>
      </c>
      <c r="AG69" s="1" t="s">
        <v>275</v>
      </c>
      <c r="AH69" s="1">
        <v>0</v>
      </c>
      <c r="AI69" s="1">
        <v>2014</v>
      </c>
      <c r="AJ69" s="5" t="s">
        <v>399</v>
      </c>
      <c r="AK69" s="1" t="s">
        <v>27</v>
      </c>
      <c r="AO69" s="1" t="s">
        <v>59</v>
      </c>
      <c r="AP69" s="1" t="s">
        <v>23</v>
      </c>
      <c r="AT69" s="1">
        <v>864.08109999999999</v>
      </c>
      <c r="AU69" s="1">
        <v>722.43894</v>
      </c>
      <c r="AW69" s="1">
        <v>612.80100000000004</v>
      </c>
      <c r="AX69" s="1">
        <v>0</v>
      </c>
      <c r="BE69" s="1">
        <v>4</v>
      </c>
      <c r="BF69" s="1">
        <v>0</v>
      </c>
      <c r="BG69" s="1">
        <v>0</v>
      </c>
      <c r="BH69" s="1">
        <v>910.11109999999996</v>
      </c>
      <c r="BI69" s="1">
        <v>544.58410000000003</v>
      </c>
      <c r="BJ69" s="1">
        <v>0</v>
      </c>
      <c r="BK69" s="13"/>
      <c r="BQ69" s="1">
        <v>1</v>
      </c>
      <c r="BR69" s="1" t="s">
        <v>57</v>
      </c>
    </row>
    <row r="70" spans="1:70" ht="272" x14ac:dyDescent="0.2">
      <c r="A70" s="1" t="s">
        <v>603</v>
      </c>
      <c r="B70" s="1" t="s">
        <v>273</v>
      </c>
      <c r="C70" s="1">
        <v>2020</v>
      </c>
      <c r="D70" s="1" t="s">
        <v>50</v>
      </c>
      <c r="E70" s="1" t="s">
        <v>575</v>
      </c>
      <c r="F70" s="1" t="s">
        <v>351</v>
      </c>
      <c r="G70" s="1">
        <v>1.396734E-2</v>
      </c>
      <c r="H70" s="1">
        <v>6.9412700000000003E-3</v>
      </c>
      <c r="I70" s="1" t="s">
        <v>52</v>
      </c>
      <c r="M70" s="1">
        <v>0</v>
      </c>
      <c r="N70" s="1">
        <v>1</v>
      </c>
      <c r="O70" s="1">
        <v>0</v>
      </c>
      <c r="P70" s="1" t="s">
        <v>274</v>
      </c>
      <c r="Q70" s="1">
        <v>0</v>
      </c>
      <c r="R70" s="1" t="s">
        <v>541</v>
      </c>
      <c r="S70" s="1">
        <v>4</v>
      </c>
      <c r="T70" s="1">
        <v>0</v>
      </c>
      <c r="U70" s="1">
        <v>1</v>
      </c>
      <c r="AA70" s="1">
        <v>1</v>
      </c>
      <c r="AB70" s="1">
        <v>673.28</v>
      </c>
      <c r="AD70" s="1" t="s">
        <v>60</v>
      </c>
      <c r="AE70" s="1">
        <v>11980</v>
      </c>
      <c r="AF70" s="1">
        <v>2014</v>
      </c>
      <c r="AG70" s="1" t="s">
        <v>275</v>
      </c>
      <c r="AH70" s="1">
        <v>0</v>
      </c>
      <c r="AI70" s="1">
        <v>2014</v>
      </c>
      <c r="AJ70" s="5" t="s">
        <v>399</v>
      </c>
      <c r="AK70" s="1" t="s">
        <v>27</v>
      </c>
      <c r="AO70" s="1" t="s">
        <v>59</v>
      </c>
      <c r="AP70" s="1" t="s">
        <v>23</v>
      </c>
      <c r="AQ70" s="1">
        <f>(2.84/1.18)^2</f>
        <v>5.7925883366848598</v>
      </c>
      <c r="AR70" s="1" t="s">
        <v>106</v>
      </c>
      <c r="AS70" s="1">
        <v>0</v>
      </c>
      <c r="AT70" s="1">
        <v>864.08109999999999</v>
      </c>
      <c r="AU70" s="1">
        <v>722.43894</v>
      </c>
      <c r="AW70" s="1">
        <v>612.80100000000004</v>
      </c>
      <c r="AX70" s="1">
        <v>0</v>
      </c>
      <c r="BB70" s="1" t="s">
        <v>58</v>
      </c>
      <c r="BE70" s="1">
        <v>4</v>
      </c>
      <c r="BF70" s="1">
        <v>0</v>
      </c>
      <c r="BG70" s="1">
        <v>0</v>
      </c>
      <c r="BH70" s="1">
        <v>910.11109999999996</v>
      </c>
      <c r="BI70" s="1">
        <v>544.58410000000003</v>
      </c>
      <c r="BJ70" s="1">
        <v>0</v>
      </c>
      <c r="BK70" s="13"/>
      <c r="BQ70" s="1">
        <v>1</v>
      </c>
      <c r="BR70" s="1" t="s">
        <v>57</v>
      </c>
    </row>
    <row r="71" spans="1:70" ht="272" x14ac:dyDescent="0.2">
      <c r="A71" s="1" t="s">
        <v>603</v>
      </c>
      <c r="B71" s="1" t="s">
        <v>273</v>
      </c>
      <c r="C71" s="1">
        <v>2020</v>
      </c>
      <c r="D71" s="1" t="s">
        <v>50</v>
      </c>
      <c r="E71" s="1" t="s">
        <v>575</v>
      </c>
      <c r="F71" s="1" t="s">
        <v>351</v>
      </c>
      <c r="G71" s="1">
        <v>6.0136399999999998E-3</v>
      </c>
      <c r="H71" s="1">
        <v>3.3417799999999999E-3</v>
      </c>
      <c r="I71" s="1" t="s">
        <v>282</v>
      </c>
      <c r="M71" s="1">
        <v>1</v>
      </c>
      <c r="N71" s="1">
        <v>0</v>
      </c>
      <c r="O71" s="1">
        <v>0</v>
      </c>
      <c r="P71" s="1" t="s">
        <v>274</v>
      </c>
      <c r="Q71" s="1">
        <v>0</v>
      </c>
      <c r="R71" s="1" t="s">
        <v>541</v>
      </c>
      <c r="S71" s="1">
        <v>4</v>
      </c>
      <c r="T71" s="1">
        <v>0</v>
      </c>
      <c r="U71" s="1">
        <v>1</v>
      </c>
      <c r="Z71" s="1">
        <v>3.9849600000000001E-3</v>
      </c>
      <c r="AA71" s="1">
        <v>1</v>
      </c>
      <c r="AB71" s="1">
        <v>739.62</v>
      </c>
      <c r="AD71" s="1" t="s">
        <v>64</v>
      </c>
      <c r="AE71" s="1">
        <v>11980</v>
      </c>
      <c r="AF71" s="1">
        <v>2014</v>
      </c>
      <c r="AG71" s="1" t="s">
        <v>275</v>
      </c>
      <c r="AH71" s="1">
        <v>0</v>
      </c>
      <c r="AI71" s="1">
        <v>2018</v>
      </c>
      <c r="AJ71" s="5" t="s">
        <v>399</v>
      </c>
      <c r="AK71" s="1" t="s">
        <v>27</v>
      </c>
      <c r="AM71" s="1" t="s">
        <v>389</v>
      </c>
      <c r="AN71" s="1">
        <v>15</v>
      </c>
      <c r="AO71" s="1" t="s">
        <v>59</v>
      </c>
      <c r="AP71" s="1" t="s">
        <v>23</v>
      </c>
      <c r="AQ71" s="1">
        <f>(2.84/1.18)^2</f>
        <v>5.7925883366848598</v>
      </c>
      <c r="AR71" s="1" t="s">
        <v>106</v>
      </c>
      <c r="AS71" s="1">
        <v>0</v>
      </c>
      <c r="AT71" s="1">
        <v>864.08109999999999</v>
      </c>
      <c r="AU71" s="1">
        <v>722.43894</v>
      </c>
      <c r="AW71" s="1">
        <v>612.80100000000004</v>
      </c>
      <c r="AX71" s="1">
        <v>0</v>
      </c>
      <c r="BB71" s="1" t="s">
        <v>124</v>
      </c>
      <c r="BC71" s="1" t="s">
        <v>549</v>
      </c>
      <c r="BD71" s="1" t="s">
        <v>528</v>
      </c>
      <c r="BE71" s="1">
        <v>4</v>
      </c>
      <c r="BF71" s="1">
        <v>0</v>
      </c>
      <c r="BG71" s="1">
        <v>0</v>
      </c>
      <c r="BH71" s="1">
        <v>910.11109999999996</v>
      </c>
      <c r="BI71" s="1">
        <v>544.58410000000003</v>
      </c>
      <c r="BJ71" s="1">
        <v>0</v>
      </c>
      <c r="BQ71" s="1">
        <v>1</v>
      </c>
      <c r="BR71" s="1" t="s">
        <v>57</v>
      </c>
    </row>
    <row r="72" spans="1:70" ht="289" x14ac:dyDescent="0.2">
      <c r="A72" s="1" t="s">
        <v>603</v>
      </c>
      <c r="B72" s="1" t="s">
        <v>567</v>
      </c>
      <c r="C72" s="1">
        <v>2020</v>
      </c>
      <c r="D72" s="2" t="s">
        <v>569</v>
      </c>
      <c r="E72" s="2" t="s">
        <v>576</v>
      </c>
      <c r="F72" s="2" t="s">
        <v>351</v>
      </c>
      <c r="G72" s="2">
        <v>-3.7560976000000003E-2</v>
      </c>
      <c r="H72" s="2">
        <v>1.182864E-2</v>
      </c>
      <c r="I72" s="2" t="s">
        <v>577</v>
      </c>
      <c r="J72" s="2"/>
      <c r="K72" s="2"/>
      <c r="L72" s="2"/>
      <c r="M72" s="2">
        <v>0</v>
      </c>
      <c r="N72" s="2">
        <v>0</v>
      </c>
      <c r="O72" s="2">
        <v>0</v>
      </c>
      <c r="P72" s="2" t="s">
        <v>565</v>
      </c>
      <c r="Q72" s="2">
        <v>0</v>
      </c>
      <c r="R72" s="2" t="s">
        <v>572</v>
      </c>
      <c r="S72" s="2">
        <v>1</v>
      </c>
      <c r="T72" s="2">
        <v>2</v>
      </c>
      <c r="U72" s="2">
        <v>1</v>
      </c>
      <c r="V72" s="2" t="s">
        <v>566</v>
      </c>
      <c r="W72" s="2">
        <v>1.0798021278623735E-2</v>
      </c>
      <c r="X72" s="2">
        <v>1.277639107678907E-2</v>
      </c>
      <c r="Y72" s="2"/>
      <c r="Z72" s="2"/>
      <c r="AA72" s="2">
        <v>1</v>
      </c>
      <c r="AB72" s="2"/>
      <c r="AC72" s="2"/>
      <c r="AD72" s="2"/>
      <c r="AE72" s="2">
        <v>16582.009999999998</v>
      </c>
      <c r="AF72" s="2">
        <v>2019</v>
      </c>
      <c r="AG72" s="2" t="s">
        <v>570</v>
      </c>
      <c r="AH72" s="2">
        <v>0</v>
      </c>
      <c r="AI72" s="2">
        <v>2019</v>
      </c>
      <c r="AJ72" s="6"/>
      <c r="AK72" s="2" t="s">
        <v>27</v>
      </c>
      <c r="AL72" s="2" t="s">
        <v>568</v>
      </c>
      <c r="AM72" s="2"/>
      <c r="AN72" s="2"/>
      <c r="AO72" s="2" t="s">
        <v>96</v>
      </c>
      <c r="AP72" s="2" t="s">
        <v>200</v>
      </c>
      <c r="AQ72" s="2">
        <f>(940/470)^2</f>
        <v>4</v>
      </c>
      <c r="AR72" s="2" t="s">
        <v>573</v>
      </c>
      <c r="AS72" s="2">
        <v>0</v>
      </c>
      <c r="AT72" s="2"/>
      <c r="AU72" s="2">
        <v>-940</v>
      </c>
      <c r="AV72" s="2">
        <v>470</v>
      </c>
      <c r="AW72" s="2"/>
      <c r="AX72" s="2">
        <v>0</v>
      </c>
      <c r="AY72" s="2">
        <v>-940</v>
      </c>
      <c r="AZ72" s="2"/>
      <c r="BA72" s="2"/>
      <c r="BB72" s="2"/>
      <c r="BC72" s="2"/>
      <c r="BD72" s="2"/>
      <c r="BE72" s="2">
        <v>4</v>
      </c>
      <c r="BF72" s="2">
        <v>0</v>
      </c>
      <c r="BG72" s="2">
        <v>0</v>
      </c>
      <c r="BH72" s="2"/>
      <c r="BI72" s="2"/>
      <c r="BJ72" s="2"/>
      <c r="BK72" s="2"/>
      <c r="BL72" s="2"/>
      <c r="BM72" s="2"/>
      <c r="BN72" s="2"/>
      <c r="BO72" s="2"/>
      <c r="BP72" s="2"/>
      <c r="BQ72" s="2">
        <v>1</v>
      </c>
      <c r="BR72" s="2"/>
    </row>
    <row r="73" spans="1:70" ht="289" x14ac:dyDescent="0.2">
      <c r="A73" s="1" t="s">
        <v>603</v>
      </c>
      <c r="B73" s="1" t="s">
        <v>567</v>
      </c>
      <c r="C73" s="1">
        <v>2020</v>
      </c>
      <c r="D73" s="2" t="s">
        <v>569</v>
      </c>
      <c r="E73" s="2" t="s">
        <v>576</v>
      </c>
      <c r="F73" s="2" t="s">
        <v>351</v>
      </c>
      <c r="G73" s="2">
        <v>4.8440369999999998E-3</v>
      </c>
      <c r="H73" s="2">
        <v>5.9464260000000003E-3</v>
      </c>
      <c r="I73" s="2" t="s">
        <v>578</v>
      </c>
      <c r="J73" s="2"/>
      <c r="K73" s="2"/>
      <c r="L73" s="2"/>
      <c r="M73" s="2">
        <v>0</v>
      </c>
      <c r="N73" s="2">
        <v>0</v>
      </c>
      <c r="O73" s="2">
        <v>0</v>
      </c>
      <c r="P73" s="2" t="s">
        <v>565</v>
      </c>
      <c r="Q73" s="2">
        <v>0</v>
      </c>
      <c r="R73" s="2" t="s">
        <v>572</v>
      </c>
      <c r="S73" s="2">
        <v>1</v>
      </c>
      <c r="T73" s="2">
        <v>1</v>
      </c>
      <c r="U73" s="2">
        <v>1</v>
      </c>
      <c r="V73" s="2" t="s">
        <v>566</v>
      </c>
      <c r="W73" s="2">
        <v>5.3933667802758007E-3</v>
      </c>
      <c r="X73" s="2">
        <v>6.3764789303156211E-3</v>
      </c>
      <c r="Y73" s="2"/>
      <c r="Z73" s="2"/>
      <c r="AA73" s="2">
        <v>1</v>
      </c>
      <c r="AB73" s="2"/>
      <c r="AC73" s="2"/>
      <c r="AD73" s="2"/>
      <c r="AE73" s="2">
        <v>14270.03</v>
      </c>
      <c r="AF73" s="2">
        <v>2019</v>
      </c>
      <c r="AG73" s="2" t="s">
        <v>571</v>
      </c>
      <c r="AH73" s="2">
        <v>0</v>
      </c>
      <c r="AI73" s="2">
        <v>2019</v>
      </c>
      <c r="AJ73" s="6"/>
      <c r="AK73" s="2" t="s">
        <v>27</v>
      </c>
      <c r="AL73" s="2" t="s">
        <v>568</v>
      </c>
      <c r="AM73" s="2"/>
      <c r="AN73" s="2"/>
      <c r="AO73" s="2" t="s">
        <v>96</v>
      </c>
      <c r="AP73" s="2" t="s">
        <v>200</v>
      </c>
      <c r="AQ73" s="2">
        <v>7.5625</v>
      </c>
      <c r="AR73" s="2" t="s">
        <v>574</v>
      </c>
      <c r="AS73" s="2">
        <v>0</v>
      </c>
      <c r="AT73" s="2"/>
      <c r="AU73" s="2">
        <v>-550</v>
      </c>
      <c r="AV73" s="2">
        <v>200</v>
      </c>
      <c r="AW73" s="2"/>
      <c r="AX73" s="2">
        <v>0</v>
      </c>
      <c r="AY73" s="2">
        <v>-550</v>
      </c>
      <c r="AZ73" s="2"/>
      <c r="BA73" s="2"/>
      <c r="BB73" s="2"/>
      <c r="BC73" s="2"/>
      <c r="BD73" s="2"/>
      <c r="BE73" s="2">
        <v>4</v>
      </c>
      <c r="BF73" s="2">
        <v>0</v>
      </c>
      <c r="BG73" s="2">
        <v>0</v>
      </c>
      <c r="BH73" s="2"/>
      <c r="BI73" s="2"/>
      <c r="BJ73" s="2"/>
      <c r="BK73" s="2"/>
      <c r="BL73" s="2"/>
      <c r="BM73" s="2"/>
      <c r="BN73" s="2"/>
      <c r="BO73" s="2"/>
      <c r="BP73" s="2"/>
      <c r="BQ73" s="2">
        <v>1</v>
      </c>
      <c r="BR73" s="2"/>
    </row>
    <row r="74" spans="1:70" ht="289" x14ac:dyDescent="0.2">
      <c r="A74" s="1" t="s">
        <v>603</v>
      </c>
      <c r="B74" s="1" t="s">
        <v>567</v>
      </c>
      <c r="C74" s="1">
        <v>2020</v>
      </c>
      <c r="D74" s="2" t="s">
        <v>569</v>
      </c>
      <c r="E74" s="2" t="s">
        <v>576</v>
      </c>
      <c r="F74" s="2" t="s">
        <v>351</v>
      </c>
      <c r="G74">
        <v>4.0682599999999999E-2</v>
      </c>
      <c r="H74">
        <v>2.4039700000000001E-2</v>
      </c>
      <c r="I74" s="2" t="s">
        <v>580</v>
      </c>
      <c r="J74">
        <v>-8.9668999999999999E-3</v>
      </c>
      <c r="K74">
        <v>-1.14804E-2</v>
      </c>
      <c r="L74" s="2" t="s">
        <v>579</v>
      </c>
      <c r="M74" s="2">
        <v>1</v>
      </c>
      <c r="N74" s="2">
        <v>0</v>
      </c>
      <c r="O74" s="2">
        <v>0</v>
      </c>
      <c r="P74" s="2" t="s">
        <v>565</v>
      </c>
      <c r="Q74" s="2">
        <v>0</v>
      </c>
      <c r="R74" s="2" t="s">
        <v>572</v>
      </c>
      <c r="S74" s="2">
        <v>1</v>
      </c>
      <c r="T74" s="2">
        <v>0</v>
      </c>
      <c r="U74" s="2">
        <v>0</v>
      </c>
      <c r="V74" s="2" t="s">
        <v>566</v>
      </c>
      <c r="W74" s="1">
        <f>SQRT(((W72)^2 + (W73)^2))</f>
        <v>1.2070031845864929E-2</v>
      </c>
      <c r="X74" s="2">
        <f>SQRT(((X72)^2 + (X73)^2))</f>
        <v>1.4279203496547502E-2</v>
      </c>
      <c r="Y74" s="2"/>
      <c r="Z74" s="2"/>
      <c r="AA74" s="2">
        <v>1</v>
      </c>
      <c r="AB74" s="2"/>
      <c r="AC74" s="2"/>
      <c r="AD74" s="2"/>
      <c r="AE74" s="2">
        <v>15050.61</v>
      </c>
      <c r="AF74" s="2">
        <v>2019</v>
      </c>
      <c r="AG74" s="2" t="s">
        <v>581</v>
      </c>
      <c r="AH74" s="2">
        <v>0</v>
      </c>
      <c r="AI74" s="2">
        <v>2019</v>
      </c>
      <c r="AJ74" s="6"/>
      <c r="AK74" s="2" t="s">
        <v>27</v>
      </c>
      <c r="AL74" s="2" t="s">
        <v>568</v>
      </c>
      <c r="AM74" s="2"/>
      <c r="AN74" s="2"/>
      <c r="AO74" s="2" t="s">
        <v>96</v>
      </c>
      <c r="AP74" s="2" t="s">
        <v>200</v>
      </c>
      <c r="AQ74" s="2">
        <f>(((940+550)/2)/SQRT((470^2/4 + 200^2/4)))^2</f>
        <v>8.5093905711000382</v>
      </c>
      <c r="AR74" s="2"/>
      <c r="AS74" s="2">
        <v>1</v>
      </c>
      <c r="AT74" s="2"/>
      <c r="AU74" s="2">
        <v>1000</v>
      </c>
      <c r="AV74" s="2"/>
      <c r="AW74" s="2"/>
      <c r="AX74" s="2">
        <v>1</v>
      </c>
      <c r="AY74" s="2">
        <f>AVERAGE(AY72,AY73)</f>
        <v>-745</v>
      </c>
      <c r="AZ74" s="2"/>
      <c r="BA74" s="2"/>
      <c r="BB74" s="2"/>
      <c r="BC74" s="2" t="s">
        <v>582</v>
      </c>
      <c r="BD74" s="2" t="s">
        <v>584</v>
      </c>
      <c r="BE74" s="2">
        <v>4</v>
      </c>
      <c r="BF74" s="2">
        <v>1</v>
      </c>
      <c r="BG74" s="2">
        <v>0</v>
      </c>
      <c r="BH74" s="2"/>
      <c r="BI74" s="2"/>
      <c r="BJ74" s="2"/>
      <c r="BK74" s="2"/>
      <c r="BL74" s="2"/>
      <c r="BM74" s="2"/>
      <c r="BN74" s="2"/>
      <c r="BO74" s="2"/>
      <c r="BP74" s="2"/>
      <c r="BQ74" s="2">
        <v>0</v>
      </c>
      <c r="BR74" s="2"/>
    </row>
    <row r="75" spans="1:70" ht="255" x14ac:dyDescent="0.2">
      <c r="A75" s="1" t="s">
        <v>604</v>
      </c>
      <c r="B75" s="1" t="s">
        <v>145</v>
      </c>
      <c r="C75" s="1">
        <v>2011</v>
      </c>
      <c r="D75" s="1" t="s">
        <v>139</v>
      </c>
      <c r="E75" s="1" t="s">
        <v>140</v>
      </c>
      <c r="F75" s="1" t="s">
        <v>351</v>
      </c>
      <c r="G75" s="1">
        <v>6.0999999999999999E-2</v>
      </c>
      <c r="H75" s="1">
        <v>2.8000000000000001E-2</v>
      </c>
      <c r="I75" s="1" t="s">
        <v>259</v>
      </c>
      <c r="J75" s="1">
        <v>5.7000000000000002E-2</v>
      </c>
      <c r="K75" s="1">
        <v>2.8000000000000001E-2</v>
      </c>
      <c r="L75" s="1" t="s">
        <v>258</v>
      </c>
      <c r="M75" s="1">
        <v>1</v>
      </c>
      <c r="N75" s="1">
        <v>0</v>
      </c>
      <c r="O75" s="1">
        <v>0</v>
      </c>
      <c r="P75" s="1" t="s">
        <v>141</v>
      </c>
      <c r="Q75" s="1">
        <v>0</v>
      </c>
      <c r="R75" s="1" t="s">
        <v>535</v>
      </c>
      <c r="S75" s="1">
        <v>2</v>
      </c>
      <c r="T75" s="1">
        <v>0</v>
      </c>
      <c r="U75" s="1">
        <v>0</v>
      </c>
      <c r="V75" s="1" t="s">
        <v>486</v>
      </c>
      <c r="AA75" s="1">
        <v>0</v>
      </c>
      <c r="AC75" s="1">
        <f>AVERAGE(0.1363,0.1331)</f>
        <v>0.13469999999999999</v>
      </c>
      <c r="AD75" s="1" t="s">
        <v>261</v>
      </c>
      <c r="AE75" s="1">
        <f>AVERAGE(3738,3905,4321,4669,5249,6998,10294)</f>
        <v>5596.2857142857147</v>
      </c>
      <c r="AF75" s="1">
        <v>2001</v>
      </c>
      <c r="AG75" s="1" t="s">
        <v>461</v>
      </c>
      <c r="AH75" s="1">
        <v>0</v>
      </c>
      <c r="AI75" s="1">
        <v>2010</v>
      </c>
      <c r="AK75" s="1" t="s">
        <v>140</v>
      </c>
      <c r="AO75" s="1" t="s">
        <v>126</v>
      </c>
      <c r="AP75" s="1" t="s">
        <v>588</v>
      </c>
      <c r="AQ75" s="1">
        <v>216.77</v>
      </c>
      <c r="AR75" s="1" t="s">
        <v>292</v>
      </c>
      <c r="AS75" s="1">
        <v>0</v>
      </c>
      <c r="AU75" s="1">
        <v>1000</v>
      </c>
      <c r="AX75" s="1">
        <v>1</v>
      </c>
      <c r="BA75" s="1">
        <v>1</v>
      </c>
      <c r="BB75" s="1" t="s">
        <v>260</v>
      </c>
      <c r="BC75" s="1" t="s">
        <v>529</v>
      </c>
      <c r="BD75" s="1" t="s">
        <v>442</v>
      </c>
      <c r="BE75" s="1">
        <v>4</v>
      </c>
      <c r="BF75" s="1">
        <v>1</v>
      </c>
      <c r="BG75" s="1">
        <v>0</v>
      </c>
      <c r="BJ75" s="1">
        <v>0</v>
      </c>
      <c r="BQ75" s="1">
        <v>0</v>
      </c>
      <c r="BR75" s="1" t="s">
        <v>142</v>
      </c>
    </row>
    <row r="76" spans="1:70" ht="204" x14ac:dyDescent="0.2">
      <c r="B76" s="1" t="s">
        <v>600</v>
      </c>
      <c r="C76" s="1">
        <v>2020</v>
      </c>
      <c r="D76" s="1" t="s">
        <v>563</v>
      </c>
      <c r="E76" s="1" t="s">
        <v>558</v>
      </c>
      <c r="F76" s="1" t="s">
        <v>351</v>
      </c>
      <c r="G76" s="1">
        <v>9.2999999999999999E-2</v>
      </c>
      <c r="H76" s="1">
        <v>0.01</v>
      </c>
      <c r="I76" s="1" t="s">
        <v>46</v>
      </c>
      <c r="M76" s="1">
        <v>1</v>
      </c>
      <c r="N76" s="1">
        <v>0</v>
      </c>
      <c r="O76" s="1">
        <v>0</v>
      </c>
      <c r="P76" s="1" t="s">
        <v>559</v>
      </c>
      <c r="Q76" s="1">
        <v>0</v>
      </c>
      <c r="R76" s="1" t="s">
        <v>541</v>
      </c>
      <c r="S76" s="1">
        <v>1</v>
      </c>
      <c r="T76" s="1">
        <v>0</v>
      </c>
      <c r="U76" s="1">
        <v>0</v>
      </c>
      <c r="V76" s="1" t="s">
        <v>489</v>
      </c>
      <c r="AA76" s="1">
        <v>1</v>
      </c>
      <c r="AE76" s="1">
        <f>5182+1354</f>
        <v>6536</v>
      </c>
      <c r="AF76" s="1">
        <v>2010</v>
      </c>
      <c r="AG76" s="1" t="s">
        <v>562</v>
      </c>
      <c r="AH76" s="1">
        <v>1</v>
      </c>
      <c r="AI76" s="1">
        <v>2018</v>
      </c>
      <c r="AK76" s="1" t="s">
        <v>558</v>
      </c>
      <c r="AN76" s="1">
        <v>15</v>
      </c>
      <c r="AO76" s="1" t="s">
        <v>59</v>
      </c>
      <c r="AP76" s="1" t="s">
        <v>23</v>
      </c>
      <c r="AQ76" s="1">
        <v>20</v>
      </c>
      <c r="AS76" s="1">
        <v>1</v>
      </c>
      <c r="AT76" s="1">
        <v>904.95540000000005</v>
      </c>
      <c r="AU76" s="1">
        <v>904.95537999999999</v>
      </c>
      <c r="AW76" s="1">
        <v>641.78880000000004</v>
      </c>
      <c r="AX76" s="1">
        <v>0</v>
      </c>
      <c r="BB76" s="1" t="s">
        <v>561</v>
      </c>
      <c r="BC76" s="1" t="s">
        <v>564</v>
      </c>
      <c r="BE76" s="1">
        <v>4</v>
      </c>
      <c r="BF76" s="1">
        <v>0</v>
      </c>
      <c r="BG76" s="1">
        <v>0</v>
      </c>
      <c r="BH76" s="1">
        <v>953.16279999999995</v>
      </c>
      <c r="BI76" s="1">
        <v>570.34500000000003</v>
      </c>
      <c r="BJ76" s="1">
        <v>0</v>
      </c>
      <c r="BQ76" s="1">
        <v>1</v>
      </c>
    </row>
    <row r="77" spans="1:70" ht="68" x14ac:dyDescent="0.2">
      <c r="B77" s="1" t="s">
        <v>53</v>
      </c>
      <c r="C77" s="1">
        <v>2008</v>
      </c>
      <c r="D77" s="11" t="s">
        <v>321</v>
      </c>
      <c r="E77" s="1" t="s">
        <v>318</v>
      </c>
      <c r="F77" s="1" t="s">
        <v>351</v>
      </c>
      <c r="O77" s="1">
        <v>0</v>
      </c>
      <c r="U77" s="1">
        <v>0</v>
      </c>
      <c r="AI77" s="1">
        <v>2001</v>
      </c>
      <c r="AM77" s="11"/>
      <c r="AN77" s="11"/>
      <c r="AQ77" s="1">
        <f>(-90/348)^2</f>
        <v>6.6884661117717015E-2</v>
      </c>
      <c r="AU77" s="1">
        <f>AVERAGE(108,448)</f>
        <v>278</v>
      </c>
      <c r="AX77" s="1">
        <v>0</v>
      </c>
      <c r="BB77" s="1" t="s">
        <v>334</v>
      </c>
      <c r="BE77" s="1">
        <v>4</v>
      </c>
      <c r="BF77" s="1">
        <v>0</v>
      </c>
      <c r="BJ77" s="1">
        <v>0</v>
      </c>
      <c r="BQ77" s="1">
        <v>1</v>
      </c>
    </row>
    <row r="78" spans="1:70" customFormat="1" ht="409.6" x14ac:dyDescent="0.2">
      <c r="B78" s="1" t="s">
        <v>601</v>
      </c>
      <c r="C78" s="1">
        <v>2009</v>
      </c>
      <c r="D78" s="1" t="s">
        <v>55</v>
      </c>
      <c r="E78" s="1" t="s">
        <v>30</v>
      </c>
      <c r="F78" s="1" t="s">
        <v>369</v>
      </c>
      <c r="G78" s="1">
        <v>3.5900000000000001E-2</v>
      </c>
      <c r="H78" s="1">
        <v>3.8199999999999998E-2</v>
      </c>
      <c r="I78" s="1" t="s">
        <v>263</v>
      </c>
      <c r="J78" s="1"/>
      <c r="K78" s="1"/>
      <c r="L78" s="1"/>
      <c r="M78" s="1">
        <v>1</v>
      </c>
      <c r="N78" s="1">
        <v>0</v>
      </c>
      <c r="O78" s="1">
        <v>0</v>
      </c>
      <c r="P78" s="1" t="s">
        <v>361</v>
      </c>
      <c r="Q78" s="1">
        <v>0</v>
      </c>
      <c r="R78" s="1" t="s">
        <v>543</v>
      </c>
      <c r="S78" s="1">
        <v>3</v>
      </c>
      <c r="T78" s="1">
        <v>1</v>
      </c>
      <c r="U78" s="1">
        <v>0</v>
      </c>
      <c r="V78" s="1"/>
      <c r="W78" s="1"/>
      <c r="X78" s="1"/>
      <c r="Y78" s="1"/>
      <c r="Z78" s="1"/>
      <c r="AA78" s="1">
        <v>0</v>
      </c>
      <c r="AB78" s="1">
        <v>0.77</v>
      </c>
      <c r="AC78" s="1">
        <f>SQRT(AB78*(1-0.77))</f>
        <v>0.42083250825001622</v>
      </c>
      <c r="AD78" s="1"/>
      <c r="AE78" s="1">
        <v>11232</v>
      </c>
      <c r="AF78" s="1">
        <v>2004</v>
      </c>
      <c r="AG78" s="1" t="s">
        <v>462</v>
      </c>
      <c r="AH78" s="1">
        <v>0</v>
      </c>
      <c r="AI78" s="1">
        <v>2003</v>
      </c>
      <c r="AJ78" s="5"/>
      <c r="AK78" s="1" t="s">
        <v>30</v>
      </c>
      <c r="AL78" s="1"/>
      <c r="AM78" s="1"/>
      <c r="AN78" s="1"/>
      <c r="AO78" s="1" t="s">
        <v>54</v>
      </c>
      <c r="AP78" s="1" t="s">
        <v>23</v>
      </c>
      <c r="AQ78" s="1">
        <f>(391.7/139.6)^2</f>
        <v>7.8729284858088207</v>
      </c>
      <c r="AR78" s="1" t="s">
        <v>296</v>
      </c>
      <c r="AS78" s="1">
        <v>0</v>
      </c>
      <c r="AT78" s="1"/>
      <c r="AU78" s="1">
        <v>391.7</v>
      </c>
      <c r="AV78" s="1">
        <v>139.6</v>
      </c>
      <c r="AW78" s="1"/>
      <c r="AX78" s="1">
        <v>0</v>
      </c>
      <c r="AY78" s="1"/>
      <c r="AZ78" s="1"/>
      <c r="BA78" s="1"/>
      <c r="BB78" s="1" t="s">
        <v>262</v>
      </c>
      <c r="BC78" s="1" t="s">
        <v>443</v>
      </c>
      <c r="BD78" s="1" t="s">
        <v>448</v>
      </c>
      <c r="BE78" s="1">
        <v>4</v>
      </c>
      <c r="BF78" s="1">
        <v>0</v>
      </c>
      <c r="BG78" s="1">
        <v>0</v>
      </c>
      <c r="BH78" s="1"/>
      <c r="BI78" s="1"/>
      <c r="BJ78" s="1">
        <v>0</v>
      </c>
      <c r="BK78" s="1"/>
      <c r="BL78" s="1"/>
      <c r="BM78" s="1"/>
      <c r="BN78" s="1"/>
      <c r="BO78" s="1"/>
      <c r="BP78" s="1"/>
      <c r="BQ78" s="1">
        <v>1</v>
      </c>
      <c r="BR78" s="1" t="s">
        <v>56</v>
      </c>
    </row>
    <row r="79" spans="1:70" customFormat="1" ht="409.6" x14ac:dyDescent="0.2">
      <c r="A79" t="s">
        <v>603</v>
      </c>
      <c r="B79" s="1" t="s">
        <v>601</v>
      </c>
      <c r="C79" s="1">
        <v>2009</v>
      </c>
      <c r="D79" s="1" t="s">
        <v>55</v>
      </c>
      <c r="E79" s="1" t="s">
        <v>30</v>
      </c>
      <c r="F79" s="1" t="s">
        <v>351</v>
      </c>
      <c r="G79" s="1">
        <v>-1.0999999999999999E-2</v>
      </c>
      <c r="H79" s="1">
        <v>1.7000000000000001E-2</v>
      </c>
      <c r="I79" s="1" t="s">
        <v>335</v>
      </c>
      <c r="J79" s="1">
        <v>-3.1E-2</v>
      </c>
      <c r="K79" s="1">
        <v>1.6E-2</v>
      </c>
      <c r="L79" s="1" t="s">
        <v>336</v>
      </c>
      <c r="M79" s="1">
        <v>1</v>
      </c>
      <c r="N79" s="1">
        <v>0</v>
      </c>
      <c r="O79" s="1">
        <v>0</v>
      </c>
      <c r="P79" s="1" t="s">
        <v>361</v>
      </c>
      <c r="Q79" s="1">
        <v>0</v>
      </c>
      <c r="R79" s="1" t="s">
        <v>543</v>
      </c>
      <c r="S79" s="1">
        <v>3</v>
      </c>
      <c r="T79" s="1">
        <v>1</v>
      </c>
      <c r="U79" s="1">
        <v>0</v>
      </c>
      <c r="V79" s="1"/>
      <c r="W79" s="1"/>
      <c r="X79" s="1"/>
      <c r="Y79" s="1"/>
      <c r="Z79" s="1"/>
      <c r="AA79" s="1">
        <v>1</v>
      </c>
      <c r="AB79" s="1"/>
      <c r="AC79" s="1"/>
      <c r="AD79" s="1"/>
      <c r="AE79" s="1">
        <v>11232</v>
      </c>
      <c r="AF79" s="1">
        <v>2004</v>
      </c>
      <c r="AG79" s="1" t="s">
        <v>462</v>
      </c>
      <c r="AH79" s="1">
        <v>0</v>
      </c>
      <c r="AI79" s="1">
        <v>2003</v>
      </c>
      <c r="AJ79" s="5"/>
      <c r="AK79" s="1" t="s">
        <v>30</v>
      </c>
      <c r="AL79" s="1"/>
      <c r="AM79" s="1"/>
      <c r="AN79" s="1"/>
      <c r="AO79" s="1" t="s">
        <v>54</v>
      </c>
      <c r="AP79" s="1" t="s">
        <v>23</v>
      </c>
      <c r="AQ79" s="1">
        <f>(284.3/91.745)^2</f>
        <v>9.6026015662002919</v>
      </c>
      <c r="AR79" s="1" t="s">
        <v>106</v>
      </c>
      <c r="AS79" s="1">
        <v>0</v>
      </c>
      <c r="AT79" s="1"/>
      <c r="AU79" s="1">
        <v>284.3</v>
      </c>
      <c r="AV79" s="1">
        <v>91.745000000000005</v>
      </c>
      <c r="AW79" s="1"/>
      <c r="AX79" s="1">
        <v>0</v>
      </c>
      <c r="AY79" s="1"/>
      <c r="AZ79" s="1"/>
      <c r="BA79" s="1"/>
      <c r="BB79" s="1" t="s">
        <v>337</v>
      </c>
      <c r="BC79" s="1" t="s">
        <v>444</v>
      </c>
      <c r="BD79" s="8" t="s">
        <v>445</v>
      </c>
      <c r="BE79" s="1">
        <v>4</v>
      </c>
      <c r="BF79" s="1">
        <v>1</v>
      </c>
      <c r="BG79" s="1">
        <v>0</v>
      </c>
      <c r="BH79" s="8"/>
      <c r="BI79" s="8"/>
      <c r="BJ79" s="1">
        <v>0</v>
      </c>
      <c r="BK79" s="1"/>
      <c r="BL79" s="1"/>
      <c r="BM79" s="1"/>
      <c r="BN79" s="1"/>
      <c r="BO79" s="1"/>
      <c r="BP79" s="1"/>
      <c r="BQ79" s="1">
        <v>0</v>
      </c>
      <c r="BR79" s="1" t="s">
        <v>56</v>
      </c>
    </row>
    <row r="80" spans="1:70" customFormat="1" x14ac:dyDescent="0.2">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5"/>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spans="2:70" customFormat="1" x14ac:dyDescent="0.2">
      <c r="B81" s="2"/>
      <c r="C81" s="2"/>
      <c r="D81" s="2"/>
      <c r="E81" s="2"/>
      <c r="F81" s="2"/>
      <c r="G81" s="2"/>
      <c r="H81" s="2"/>
      <c r="I81" s="2"/>
      <c r="J81" s="2"/>
      <c r="K81" s="2"/>
      <c r="L81" s="2"/>
      <c r="M81" s="2"/>
      <c r="N81" s="2"/>
      <c r="O81" s="2"/>
      <c r="P81" s="2"/>
      <c r="Q81" s="2"/>
      <c r="R81" s="2"/>
      <c r="S81" s="2"/>
      <c r="T81" s="2"/>
      <c r="U81" s="2"/>
      <c r="V81" s="2"/>
      <c r="X81" s="2"/>
      <c r="Y81" s="2"/>
      <c r="Z81" s="2"/>
      <c r="AA81" s="2"/>
      <c r="AB81" s="2"/>
      <c r="AC81" s="2"/>
      <c r="AD81" s="2"/>
      <c r="AE81" s="2"/>
      <c r="AF81" s="2"/>
      <c r="AG81" s="2"/>
      <c r="AH81" s="2"/>
      <c r="AI81" s="2"/>
      <c r="AJ81" s="6"/>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row>
  </sheetData>
  <autoFilter ref="A1:BR79" xr:uid="{7931C472-ED89-F643-8BB7-71A02A23D4C3}"/>
  <phoneticPr fontId="3"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OverallPopulation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Claire Mackevicius</cp:lastModifiedBy>
  <dcterms:created xsi:type="dcterms:W3CDTF">2019-10-13T21:36:05Z</dcterms:created>
  <dcterms:modified xsi:type="dcterms:W3CDTF">2023-10-08T13:03:41Z</dcterms:modified>
</cp:coreProperties>
</file>